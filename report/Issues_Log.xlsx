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C83E1E04-E7FB-4113-A17E-E5F43490C1F7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Overview" sheetId="1" r:id="rId1"/>
    <sheet name="Issues Log" sheetId="2" r:id="rId2"/>
    <sheet name="KPI Scope" sheetId="3" r:id="rId3"/>
    <sheet name="Process Not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1" l="1"/>
  <c r="B6" i="1"/>
  <c r="B5" i="1"/>
</calcChain>
</file>

<file path=xl/sharedStrings.xml><?xml version="1.0" encoding="utf-8"?>
<sst xmlns="http://schemas.openxmlformats.org/spreadsheetml/2006/main" count="174" uniqueCount="145">
  <si>
    <t>DABI Internship — Task 2: Issues Log &amp; Process Record</t>
  </si>
  <si>
    <t>Group 3 — Facebook &amp; Instagram Insights, Jan–Apr 2023</t>
  </si>
  <si>
    <t>Tabs</t>
  </si>
  <si>
    <t>Issues Log · KPI Scope · Process Notes</t>
  </si>
  <si>
    <t>Total issues</t>
  </si>
  <si>
    <t>Resolved</t>
  </si>
  <si>
    <t>Open</t>
  </si>
  <si>
    <t>Open item</t>
  </si>
  <si>
    <t>Issue 3: cause of the 6–8 March zero days awaiting confirmation from the Ad manager.</t>
  </si>
  <si>
    <t>Assumptions</t>
  </si>
  <si>
    <t>Currency treated as GBP (export states none); growth measured month-to-month.</t>
  </si>
  <si>
    <t>Caveat</t>
  </si>
  <si>
    <t>Final Power BI dashboard not independently reviewed.</t>
  </si>
  <si>
    <t>DABI Internship — Task 2: Issues Log</t>
  </si>
  <si>
    <t>Facebook &amp; Instagram Insights KPI Analysis (Jan–Apr 2023) — data quality audit, mapped to the 4 KPIs in the brief</t>
  </si>
  <si>
    <t>Issue #</t>
  </si>
  <si>
    <t>Data File</t>
  </si>
  <si>
    <t>Description</t>
  </si>
  <si>
    <t>C.L.E.A.N. Category</t>
  </si>
  <si>
    <t>Affected KPI(s)</t>
  </si>
  <si>
    <t>Business Impact</t>
  </si>
  <si>
    <t>Resolution / Fix</t>
  </si>
  <si>
    <t>Status</t>
  </si>
  <si>
    <t>Ad_trends3.xlsx</t>
  </si>
  <si>
    <t>Raw export contained two summary-total blocks stacked above the daily reach/spend table in one sheet, rather than one clean table.</t>
  </si>
  <si>
    <t>C — Consistency</t>
  </si>
  <si>
    <t>3, 4</t>
  </si>
  <si>
    <t>Header labels would read as data values if pivoted/imported as-is; totals are redundant once the daily series is available.</t>
  </si>
  <si>
    <t>Split into a dedicated 'Original_data' sheet containing only the clean 120-row daily table (Date, Unique Users, Spend). Raw sheet retained as source. Confirmed no gaps, no duplicate dates.</t>
  </si>
  <si>
    <t>Page_and_profile_visits1.xlsx / Reach2.xlsx</t>
  </si>
  <si>
    <t>Facebook and Instagram data were stacked in a single sheet, separated by a blank row and a repeated header, rather than kept as separate tables.</t>
  </si>
  <si>
    <t>1, 2</t>
  </si>
  <si>
    <t>Same risk as Issue 1 — mixed platforms in one range would corrupt any direct pivot or chart built against the sheet.</t>
  </si>
  <si>
    <t>Split each file into 'FB_original_data' and 'Ins_original_data' sheets. Confirmed 120/120 days present in each, no duplicate dates, no nulls.</t>
  </si>
  <si>
    <t>Paid reach and ad spend are exactly 0 on 7–8 March 2023 (6 March is near zero: 479 users, £0.32), tapering down from 4 March and recovering from 9 March. Spend then ran at about £2 a day on 14–21 March, so the March low is wider than the zero days. Facebook and Instagram Page reach fall to near zero on the same days.</t>
  </si>
  <si>
    <t>L — Legitimacy</t>
  </si>
  <si>
    <t>KPI 3 (spend trend) and KPI 4 (% change in spend) will both show what looks like a violent dip and recovery across this window if left unannotated — risk of being misread as a data error by a reviewer.</t>
  </si>
  <si>
    <t>Values kept as-is — no imputation, no averaging, no row removal. The gradual taper-in/taper-out (rather than a sudden drop-and-snap-back) is the signature of something actually happening to the account in the real world during that week — most plausibly the ad campaign's budget running out or a scheduled pause (paid side), coinciding with a broader lull in page activity (organic side). Could also be a temporary account-level restriction or a planned content pause, but 'system stopped logging' is the one explanation the shape rules out. Flagged for the Ad manager to confirm the cause; a one-line annotation will be added to the KPI 3/4 chart regardless of the answer, so the dip reads as a real event rather than a tracking gap. Note: this is the best explanation the data's shape supports, not yet confirmed. UPDATE (deck review): the earlier note that organic Facebook reach corroborates this independently is withdrawn — daily Facebook Page reach tracks paid reach almost one-for-one (r = 0.99), so it is not an independent organic signal. The second trough (14–21 March, about £2 a day) is also logged here. Final deck describes this as a drop in ad delivery, not a confirmed budget decision.</t>
  </si>
  <si>
    <t>Open — pending Ad manager confirmation</t>
  </si>
  <si>
    <t>Reach2.xlsx / Page_and_profile_visits1.xlsx</t>
  </si>
  <si>
    <t>Brief's KPI 1 ('growth rate for reach') and KPI 2 ('compare likes vs followers') don't specify a time granularity — day-over-day, week-over-week, and month-over-month would each produce a different chart from the same daily data.</t>
  </si>
  <si>
    <t>N — Notation</t>
  </si>
  <si>
    <t>Chart granularity changes what the finding actually is — daily data is noisy; a coarser rollup reads as a cleaner trend but could mask shorter-term swings.</t>
  </si>
  <si>
    <t>Documented decision: growth rate and the likes-vs-followers comparison will both be calculated month-to-month (Jan, Feb, Mar, Apr 2023), aggregating the daily series before computing % change.</t>
  </si>
  <si>
    <t>Resolved — documented assumption</t>
  </si>
  <si>
    <t>The AD_ACCOUNT,SPEND,COUNT column has no stated currency anywhere in the export.</t>
  </si>
  <si>
    <t>Currency will appear on the KPI 3/4 chart axis and in any spend figures quoted in the write-up; wrong currency misrepresents the numbers even if the trend shape is correct.</t>
  </si>
  <si>
    <t>Analyst decision: the export states no currency, so spend is treated as GBP (£) for KPI 3 and 4. KPI 3 chart axis and number format set to £#,##0.00. Supersedes the earlier USD placeholder (see Issue 8). Assumption — to be revisited only if the Ad manager indicates otherwise.</t>
  </si>
  <si>
    <t>Resolved — GBP adopted (assumption)</t>
  </si>
  <si>
    <t>Reach2.xlsx (Pivot_summary)</t>
  </si>
  <si>
    <t>Typo in KPI_1 helper table header: 'Fed' instead of 'Feb'.</t>
  </si>
  <si>
    <t>1</t>
  </si>
  <si>
    <t>Mislabelled month in a table feeding a chart; looks careless and breaks label matching.</t>
  </si>
  <si>
    <t>Corrected to 'Feb'; helper-table D/E headers and growth columns completed.</t>
  </si>
  <si>
    <t>Reach2.xlsx (KPI 3 chart)</t>
  </si>
  <si>
    <t>KPI 3 line chart Y-axis started at 250 rather than 0, visually exaggerating the March drop in ad spend.</t>
  </si>
  <si>
    <t>A — Alignment (presentation)</t>
  </si>
  <si>
    <t>3</t>
  </si>
  <si>
    <t>A truncated axis overstates the size of the dip and could mislead readers about magnitude.</t>
  </si>
  <si>
    <t>Axis minimum set to 0. Verified in the later uploaded workbook.</t>
  </si>
  <si>
    <t>Task 2 log vs Reach2.xlsx</t>
  </si>
  <si>
    <t>Cross-artifact inconsistency: the log recorded USD while the KPI 3 chart was formatted in £.</t>
  </si>
  <si>
    <t>Currency mismatch between documentation and chart undermines trust in the numbers.</t>
  </si>
  <si>
    <t>Currency standardised to GBP across the log, Excel and Power BI (see Issue 5).</t>
  </si>
  <si>
    <t>Ad_trends3 / Reach2 (KPIs 1, 3, 4)</t>
  </si>
  <si>
    <t>April month-over-month growth is inflated because March is a depressed base (spend +198.7%, FB reach +140.1%), after the March dip (Issue 3).</t>
  </si>
  <si>
    <t>A — Alignment</t>
  </si>
  <si>
    <t>1, 3, 4</t>
  </si>
  <si>
    <t>April figures read as extraordinary growth when they are largely a rebound from a low base.</t>
  </si>
  <si>
    <t>Dashboard note added explaining the March dip and the rebound effect; points readers to Issue 3. Cause still unconfirmed.</t>
  </si>
  <si>
    <t>Resolved — annotated</t>
  </si>
  <si>
    <t>After a LibreOffice recalculation, GETPIVOTDATA cells (MoM % and KPI_1 helper cells) cached reference-error values, because LibreOffice cannot evaluate them against Excel PivotTables.</t>
  </si>
  <si>
    <t>N — Notation (tooling)</t>
  </si>
  <si>
    <t>Stale/incorrect cached values could show errors on open in viewers that do not recalculate.</t>
  </si>
  <si>
    <t>Formula text unchanged; workbook set to full recalculation on load (F9 in Excel). Correct values confirmed in the later uploaded file.</t>
  </si>
  <si>
    <t>Draft group presentation</t>
  </si>
  <si>
    <t>Draft deck wording overreached the analysis: a "triple-digit recovery across both Facebook and Instagram" (Instagram April was +32.47%); "direct, causal link" and "mathematical link" language; February spend "sustained strong audience growth" (Facebook likes fell 21.08% and Instagram followers 15.07% that month); the +140.10% April figure presented as a "return" (Facebook April reach is only +11.2% above February); the March fall called a budget cut by leadership.</t>
  </si>
  <si>
    <t>1, 2, 3, 4</t>
  </si>
  <si>
    <t>Unsupported claims in front of reviewers weaken credibility and could drive wrong budget decisions.</t>
  </si>
  <si>
    <t>Conclusion and recommendations reworded to what the data supports: association rather than proven cause, the April rebound explained against the low March base, and the March cause marked unconfirmed. All figures re-computed from the raw exports and matched.</t>
  </si>
  <si>
    <t>Resolved — corrected in final deck</t>
  </si>
  <si>
    <t>Dashboard / presentation tiles</t>
  </si>
  <si>
    <t>Reach totals (857K Facebook, 191K Instagram, 848K paid) are sums of daily unique users, so repeat viewers are counted again. Meta de-duplicated paid reach for the period is 339,230 against 848,467 summed daily.</t>
  </si>
  <si>
    <t>Totals overstate distinct people if read as audience size.</t>
  </si>
  <si>
    <t>Tiles relabelled as sums of daily reach in the final deck and the difference disclosed on the data-notes slide. Month-on-month growth rates are unaffected because the same method is used every month.</t>
  </si>
  <si>
    <t>Resolved — disclosed</t>
  </si>
  <si>
    <t>KPI Scope &amp; Status</t>
  </si>
  <si>
    <t>Four KPIs from the brief, with calculation, build status and verified findings</t>
  </si>
  <si>
    <t>KPI</t>
  </si>
  <si>
    <t>Definition</t>
  </si>
  <si>
    <t>Source</t>
  </si>
  <si>
    <t>Calculation</t>
  </si>
  <si>
    <t>Visual</t>
  </si>
  <si>
    <t>Excel status</t>
  </si>
  <si>
    <t>Power BI status</t>
  </si>
  <si>
    <t>Key finding (verified: Excel = Power BI = pandas)</t>
  </si>
  <si>
    <t>KPI 1</t>
  </si>
  <si>
    <t>Growth rate of FB &amp; IG audience reach</t>
  </si>
  <si>
    <t>Reach(2): FB_original_data, Ins_original_data</t>
  </si>
  <si>
    <t>Monthly reach totals; MoM % change</t>
  </si>
  <si>
    <t>Totals chart + MoM % chart</t>
  </si>
  <si>
    <t>Done</t>
  </si>
  <si>
    <t>FB reach Jan–Apr 211,093 / 250,753 / 116,110 / 278,785 (MoM +18.79%, −53.70%, +140.10%). IG 58,377 / 53,194 / 34,183 / 45,283 (−8.88%, −35.74%, +32.47%).</t>
  </si>
  <si>
    <t>KPI 2</t>
  </si>
  <si>
    <t>Facebook Page likes vs Instagram followers</t>
  </si>
  <si>
    <t>Page_and_profile_visits1 / Reach2</t>
  </si>
  <si>
    <t>Monthly totals side by side</t>
  </si>
  <si>
    <t>Clustered column</t>
  </si>
  <si>
    <t>FB likes 1,219 / 962 / 417 / 491; IG followers 949 / 806 / 621 / 812. FB leads Jan–Feb; IG overtakes in March (621 vs 417) and stays ahead.</t>
  </si>
  <si>
    <t>KPI 3</t>
  </si>
  <si>
    <t>Trend of total ad spend</t>
  </si>
  <si>
    <t>Ad_trends3</t>
  </si>
  <si>
    <t>Monthly spend total (GBP)</t>
  </si>
  <si>
    <t>Line chart, zero-based axis, £ format</t>
  </si>
  <si>
    <t>£1,012.55 / £1,383.26 / £642.83 / £1,920.40.</t>
  </si>
  <si>
    <t>KPI 4</t>
  </si>
  <si>
    <t>% increase/decrease in ad spend</t>
  </si>
  <si>
    <t>MoM % change of monthly spend</t>
  </si>
  <si>
    <t>Column chart</t>
  </si>
  <si>
    <t>+36.61%, −53.53%, +198.74%. Excel and Power BI values match.</t>
  </si>
  <si>
    <t>Process Notes</t>
  </si>
  <si>
    <t>Chronological record of work done in Task 2</t>
  </si>
  <si>
    <t>Step</t>
  </si>
  <si>
    <t>What was done</t>
  </si>
  <si>
    <t>Brief and four raw exports (Ad trends, Page and profile visits, Reach) received and reviewed.</t>
  </si>
  <si>
    <t>Profiled structure: stacked mini-tables, blank rows and repeated headers inside single sheets (Issues 1–2).</t>
  </si>
  <si>
    <t>Agreed the C.L.E.A.N. framework (Consistency, Legitimacy, Exhaustiveness, Alignment, Notation) as the cleaning approach.</t>
  </si>
  <si>
    <t>Consistency and Exhaustiveness confirmed: 120 days per table, no gaps, no duplicate dates, no nulls.</t>
  </si>
  <si>
    <t>Legitimacy: zero-value days (6–8 Mar) analysed by shape; judged a real event rather than a tracking gap; zeros kept, no imputation (Issue 3).</t>
  </si>
  <si>
    <t>Issue 3 documented with reasoning and fix; confirmation request prepared for the Ad manager.</t>
  </si>
  <si>
    <t>Alignment and Notation: mapped data to KPIs; decided month-to-month granularity (Issue 4) and a currency treatment (Issue 5).</t>
  </si>
  <si>
    <t>Predicted KPI values with pandas before building, to verify the Excel build independently.</t>
  </si>
  <si>
    <t>Excel build: all tables consolidated in Combo; PivotTable, MoM % columns and KPI 1–4 helper tables with charts in Pivot_summary.</t>
  </si>
  <si>
    <t>Fixed 'Fed' typo and completed growth columns (Issue 6).</t>
  </si>
  <si>
    <t>Recalculation tooling issue with GETPIVOTDATA found and mitigated (Issue 10).</t>
  </si>
  <si>
    <t>Tried linking the local Excel via the device bridge; reverted to file uploads by user preference.</t>
  </si>
  <si>
    <t>KPI 2 crossover reading corrected: IG overtakes FB in March, not after.</t>
  </si>
  <si>
    <t>Chart review: currency changed to GBP and KPI 3 axis made zero-based (Issues 5, 7, 8).</t>
  </si>
  <si>
    <t>Power BI: imported raw sheets; split the stacked tables into 5 tables of 120 rows each via Power Query.</t>
  </si>
  <si>
    <t>Built DateTable, relationships (DateTable[Date] 1→* single direction), Measures table, base and MoM % measures.</t>
  </si>
  <si>
    <t>Power BI troubleshooting: model view visibility and a visual capacity/licence error resolved by the user.</t>
  </si>
  <si>
    <t>Verified Power BI values match Excel for all four KPIs.</t>
  </si>
  <si>
    <t>Dashboard plan and March-dip note drafted, referencing Issue 3; April rebound caveat recorded (Issue 9).</t>
  </si>
  <si>
    <t>Deck build: group presentation content read; every figure re-computed from raw exports and matched; wording corrected where claims exceeded the data (Issue 11); March spend pattern widened to include 14–21 March (Issue 3); summed-reach caveat added (Issue 12).</t>
  </si>
  <si>
    <t>Limits: the .pbix data model could not be inspected directly; the final dashboard has not been independently reviewed.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</si>
</sst>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Normal="100" workbookViewId="0">
      <selection activeCell="B8" sqref="B8"/>
    </sheetView>
  </sheetViews>
  <sheetFormatPr defaultColWidth="8.6640625" defaultRowHeight="14.4" x14ac:dyDescent="0.3"/>
  <cols>
    <col min="1" max="1" width="16" customWidth="1"/>
    <col min="2" max="2" width="9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3" t="s">
        <v>4</v>
      </c>
      <c r="B5" s="4">
        <f>COUNTA('Issues Log'!A5:A16)</f>
        <v>12</v>
      </c>
    </row>
    <row r="6" spans="1:2" x14ac:dyDescent="0.3">
      <c r="A6" s="3" t="s">
        <v>5</v>
      </c>
      <c r="B6" s="4">
        <f>COUNTIF('Issues Log'!H5:H16,"Resolved*")</f>
        <v>11</v>
      </c>
    </row>
    <row r="7" spans="1:2" x14ac:dyDescent="0.3">
      <c r="A7" s="3" t="s">
        <v>6</v>
      </c>
      <c r="B7" s="4">
        <f>COUNTIF('Issues Log'!H5:H16,"Open*")</f>
        <v>1</v>
      </c>
    </row>
    <row r="8" spans="1:2" x14ac:dyDescent="0.3">
      <c r="A8" s="3" t="s">
        <v>7</v>
      </c>
      <c r="B8" s="4" t="s">
        <v>8</v>
      </c>
    </row>
    <row r="9" spans="1:2" x14ac:dyDescent="0.3">
      <c r="A9" s="3" t="s">
        <v>9</v>
      </c>
      <c r="B9" s="4" t="s">
        <v>10</v>
      </c>
    </row>
    <row r="10" spans="1:2" x14ac:dyDescent="0.3">
      <c r="A10" s="3" t="s">
        <v>11</v>
      </c>
      <c r="B10" s="4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6" customWidth="1"/>
    <col min="3" max="3" width="42" customWidth="1"/>
    <col min="4" max="4" width="16" customWidth="1"/>
    <col min="5" max="5" width="14" customWidth="1"/>
    <col min="6" max="6" width="30" customWidth="1"/>
    <col min="7" max="7" width="42" customWidth="1"/>
    <col min="8" max="8" width="20" customWidth="1"/>
  </cols>
  <sheetData>
    <row r="1" spans="1:8" ht="17.399999999999999" x14ac:dyDescent="0.3">
      <c r="A1" s="1" t="s">
        <v>13</v>
      </c>
    </row>
    <row r="2" spans="1:8" x14ac:dyDescent="0.3">
      <c r="A2" s="2" t="s">
        <v>14</v>
      </c>
    </row>
    <row r="4" spans="1:8" ht="26.4" x14ac:dyDescent="0.3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</row>
    <row r="5" spans="1:8" ht="66" x14ac:dyDescent="0.3">
      <c r="A5" s="6">
        <v>1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5</v>
      </c>
    </row>
    <row r="6" spans="1:8" ht="52.8" x14ac:dyDescent="0.3">
      <c r="A6" s="6">
        <v>2</v>
      </c>
      <c r="B6" s="6" t="s">
        <v>29</v>
      </c>
      <c r="C6" s="6" t="s">
        <v>30</v>
      </c>
      <c r="D6" s="6" t="s">
        <v>25</v>
      </c>
      <c r="E6" s="6" t="s">
        <v>31</v>
      </c>
      <c r="F6" s="6" t="s">
        <v>32</v>
      </c>
      <c r="G6" s="6" t="s">
        <v>33</v>
      </c>
      <c r="H6" s="6" t="s">
        <v>5</v>
      </c>
    </row>
    <row r="7" spans="1:8" ht="343.2" x14ac:dyDescent="0.3">
      <c r="A7" s="6">
        <v>3</v>
      </c>
      <c r="B7" s="6" t="s">
        <v>23</v>
      </c>
      <c r="C7" s="6" t="s">
        <v>34</v>
      </c>
      <c r="D7" s="6" t="s">
        <v>35</v>
      </c>
      <c r="E7" s="6" t="s">
        <v>26</v>
      </c>
      <c r="F7" s="6" t="s">
        <v>36</v>
      </c>
      <c r="G7" s="6" t="s">
        <v>37</v>
      </c>
      <c r="H7" s="6" t="s">
        <v>38</v>
      </c>
    </row>
    <row r="8" spans="1:8" ht="66" x14ac:dyDescent="0.3">
      <c r="A8" s="6">
        <v>4</v>
      </c>
      <c r="B8" s="6" t="s">
        <v>39</v>
      </c>
      <c r="C8" s="6" t="s">
        <v>40</v>
      </c>
      <c r="D8" s="6" t="s">
        <v>41</v>
      </c>
      <c r="E8" s="6" t="s">
        <v>31</v>
      </c>
      <c r="F8" s="6" t="s">
        <v>42</v>
      </c>
      <c r="G8" s="6" t="s">
        <v>43</v>
      </c>
      <c r="H8" s="6" t="s">
        <v>44</v>
      </c>
    </row>
    <row r="9" spans="1:8" ht="92.4" x14ac:dyDescent="0.3">
      <c r="A9" s="6">
        <v>5</v>
      </c>
      <c r="B9" s="6" t="s">
        <v>23</v>
      </c>
      <c r="C9" s="6" t="s">
        <v>45</v>
      </c>
      <c r="D9" s="6" t="s">
        <v>41</v>
      </c>
      <c r="E9" s="6" t="s">
        <v>26</v>
      </c>
      <c r="F9" s="6" t="s">
        <v>46</v>
      </c>
      <c r="G9" s="6" t="s">
        <v>47</v>
      </c>
      <c r="H9" s="6" t="s">
        <v>48</v>
      </c>
    </row>
    <row r="10" spans="1:8" ht="39.6" x14ac:dyDescent="0.3">
      <c r="A10" s="6">
        <v>6</v>
      </c>
      <c r="B10" s="6" t="s">
        <v>49</v>
      </c>
      <c r="C10" s="6" t="s">
        <v>50</v>
      </c>
      <c r="D10" s="6" t="s">
        <v>25</v>
      </c>
      <c r="E10" s="6" t="s">
        <v>51</v>
      </c>
      <c r="F10" s="6" t="s">
        <v>52</v>
      </c>
      <c r="G10" s="6" t="s">
        <v>53</v>
      </c>
      <c r="H10" s="6" t="s">
        <v>5</v>
      </c>
    </row>
    <row r="11" spans="1:8" ht="39.6" x14ac:dyDescent="0.3">
      <c r="A11" s="6">
        <v>7</v>
      </c>
      <c r="B11" s="6" t="s">
        <v>54</v>
      </c>
      <c r="C11" s="6" t="s">
        <v>55</v>
      </c>
      <c r="D11" s="6" t="s">
        <v>56</v>
      </c>
      <c r="E11" s="6" t="s">
        <v>57</v>
      </c>
      <c r="F11" s="6" t="s">
        <v>58</v>
      </c>
      <c r="G11" s="6" t="s">
        <v>59</v>
      </c>
      <c r="H11" s="6" t="s">
        <v>5</v>
      </c>
    </row>
    <row r="12" spans="1:8" ht="39.6" x14ac:dyDescent="0.3">
      <c r="A12" s="6">
        <v>8</v>
      </c>
      <c r="B12" s="6" t="s">
        <v>60</v>
      </c>
      <c r="C12" s="6" t="s">
        <v>61</v>
      </c>
      <c r="D12" s="6" t="s">
        <v>41</v>
      </c>
      <c r="E12" s="6" t="s">
        <v>26</v>
      </c>
      <c r="F12" s="6" t="s">
        <v>62</v>
      </c>
      <c r="G12" s="6" t="s">
        <v>63</v>
      </c>
      <c r="H12" s="6" t="s">
        <v>5</v>
      </c>
    </row>
    <row r="13" spans="1:8" ht="52.8" x14ac:dyDescent="0.3">
      <c r="A13" s="6">
        <v>9</v>
      </c>
      <c r="B13" s="6" t="s">
        <v>64</v>
      </c>
      <c r="C13" s="6" t="s">
        <v>65</v>
      </c>
      <c r="D13" s="6" t="s">
        <v>66</v>
      </c>
      <c r="E13" s="6" t="s">
        <v>67</v>
      </c>
      <c r="F13" s="6" t="s">
        <v>68</v>
      </c>
      <c r="G13" s="6" t="s">
        <v>69</v>
      </c>
      <c r="H13" s="6" t="s">
        <v>70</v>
      </c>
    </row>
    <row r="14" spans="1:8" ht="66" x14ac:dyDescent="0.3">
      <c r="A14" s="6">
        <v>10</v>
      </c>
      <c r="B14" s="6" t="s">
        <v>49</v>
      </c>
      <c r="C14" s="6" t="s">
        <v>71</v>
      </c>
      <c r="D14" s="6" t="s">
        <v>72</v>
      </c>
      <c r="E14" s="6" t="s">
        <v>67</v>
      </c>
      <c r="F14" s="6" t="s">
        <v>73</v>
      </c>
      <c r="G14" s="6" t="s">
        <v>74</v>
      </c>
      <c r="H14" s="6" t="s">
        <v>5</v>
      </c>
    </row>
    <row r="15" spans="1:8" ht="145.19999999999999" x14ac:dyDescent="0.3">
      <c r="A15" s="6">
        <v>11</v>
      </c>
      <c r="B15" s="6" t="s">
        <v>75</v>
      </c>
      <c r="C15" s="6" t="s">
        <v>76</v>
      </c>
      <c r="D15" s="6" t="s">
        <v>35</v>
      </c>
      <c r="E15" s="6" t="s">
        <v>77</v>
      </c>
      <c r="F15" s="6" t="s">
        <v>78</v>
      </c>
      <c r="G15" s="6" t="s">
        <v>79</v>
      </c>
      <c r="H15" s="6" t="s">
        <v>80</v>
      </c>
    </row>
    <row r="16" spans="1:8" ht="66" x14ac:dyDescent="0.3">
      <c r="A16" s="6">
        <v>12</v>
      </c>
      <c r="B16" s="6" t="s">
        <v>81</v>
      </c>
      <c r="C16" s="6" t="s">
        <v>82</v>
      </c>
      <c r="D16" s="6" t="s">
        <v>41</v>
      </c>
      <c r="E16" s="6" t="s">
        <v>51</v>
      </c>
      <c r="F16" s="6" t="s">
        <v>83</v>
      </c>
      <c r="G16" s="6" t="s">
        <v>84</v>
      </c>
      <c r="H16" s="6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32" customWidth="1"/>
    <col min="3" max="3" width="30" customWidth="1"/>
    <col min="4" max="4" width="28" customWidth="1"/>
    <col min="5" max="5" width="26" customWidth="1"/>
    <col min="6" max="6" width="12" customWidth="1"/>
    <col min="7" max="7" width="14" customWidth="1"/>
    <col min="8" max="8" width="60" customWidth="1"/>
  </cols>
  <sheetData>
    <row r="1" spans="1:8" ht="17.399999999999999" x14ac:dyDescent="0.3">
      <c r="A1" s="1" t="s">
        <v>86</v>
      </c>
    </row>
    <row r="2" spans="1:8" x14ac:dyDescent="0.3">
      <c r="A2" s="2" t="s">
        <v>87</v>
      </c>
    </row>
    <row r="4" spans="1:8" ht="26.4" x14ac:dyDescent="0.3">
      <c r="A4" s="5" t="s">
        <v>88</v>
      </c>
      <c r="B4" s="5" t="s">
        <v>89</v>
      </c>
      <c r="C4" s="5" t="s">
        <v>90</v>
      </c>
      <c r="D4" s="5" t="s">
        <v>91</v>
      </c>
      <c r="E4" s="5" t="s">
        <v>92</v>
      </c>
      <c r="F4" s="5" t="s">
        <v>93</v>
      </c>
      <c r="G4" s="5" t="s">
        <v>94</v>
      </c>
      <c r="H4" s="5" t="s">
        <v>95</v>
      </c>
    </row>
    <row r="5" spans="1:8" ht="39.6" x14ac:dyDescent="0.3">
      <c r="A5" s="6" t="s">
        <v>96</v>
      </c>
      <c r="B5" s="6" t="s">
        <v>97</v>
      </c>
      <c r="C5" s="6" t="s">
        <v>98</v>
      </c>
      <c r="D5" s="6" t="s">
        <v>99</v>
      </c>
      <c r="E5" s="6" t="s">
        <v>100</v>
      </c>
      <c r="F5" s="6" t="s">
        <v>101</v>
      </c>
      <c r="G5" s="6" t="s">
        <v>101</v>
      </c>
      <c r="H5" s="6" t="s">
        <v>102</v>
      </c>
    </row>
    <row r="6" spans="1:8" ht="26.4" x14ac:dyDescent="0.3">
      <c r="A6" s="6" t="s">
        <v>103</v>
      </c>
      <c r="B6" s="6" t="s">
        <v>104</v>
      </c>
      <c r="C6" s="6" t="s">
        <v>105</v>
      </c>
      <c r="D6" s="6" t="s">
        <v>106</v>
      </c>
      <c r="E6" s="6" t="s">
        <v>107</v>
      </c>
      <c r="F6" s="6" t="s">
        <v>101</v>
      </c>
      <c r="G6" s="6" t="s">
        <v>101</v>
      </c>
      <c r="H6" s="6" t="s">
        <v>108</v>
      </c>
    </row>
    <row r="7" spans="1:8" ht="26.4" x14ac:dyDescent="0.3">
      <c r="A7" s="6" t="s">
        <v>109</v>
      </c>
      <c r="B7" s="6" t="s">
        <v>110</v>
      </c>
      <c r="C7" s="6" t="s">
        <v>111</v>
      </c>
      <c r="D7" s="6" t="s">
        <v>112</v>
      </c>
      <c r="E7" s="6" t="s">
        <v>113</v>
      </c>
      <c r="F7" s="6" t="s">
        <v>101</v>
      </c>
      <c r="G7" s="6" t="s">
        <v>101</v>
      </c>
      <c r="H7" s="6" t="s">
        <v>114</v>
      </c>
    </row>
    <row r="8" spans="1:8" ht="26.4" x14ac:dyDescent="0.3">
      <c r="A8" s="6" t="s">
        <v>115</v>
      </c>
      <c r="B8" s="6" t="s">
        <v>116</v>
      </c>
      <c r="C8" s="6" t="s">
        <v>111</v>
      </c>
      <c r="D8" s="6" t="s">
        <v>117</v>
      </c>
      <c r="E8" s="6" t="s">
        <v>118</v>
      </c>
      <c r="F8" s="6" t="s">
        <v>101</v>
      </c>
      <c r="G8" s="6" t="s">
        <v>101</v>
      </c>
      <c r="H8" s="6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20" customWidth="1"/>
  </cols>
  <sheetData>
    <row r="1" spans="1:2" ht="17.399999999999999" x14ac:dyDescent="0.3">
      <c r="A1" s="1" t="s">
        <v>120</v>
      </c>
    </row>
    <row r="2" spans="1:2" x14ac:dyDescent="0.3">
      <c r="A2" s="2" t="s">
        <v>121</v>
      </c>
    </row>
    <row r="4" spans="1:2" x14ac:dyDescent="0.3">
      <c r="A4" s="5" t="s">
        <v>122</v>
      </c>
      <c r="B4" s="5" t="s">
        <v>123</v>
      </c>
    </row>
    <row r="5" spans="1:2" x14ac:dyDescent="0.3">
      <c r="A5" s="6">
        <v>1</v>
      </c>
      <c r="B5" s="6" t="s">
        <v>124</v>
      </c>
    </row>
    <row r="6" spans="1:2" x14ac:dyDescent="0.3">
      <c r="A6" s="6">
        <v>2</v>
      </c>
      <c r="B6" s="6" t="s">
        <v>125</v>
      </c>
    </row>
    <row r="7" spans="1:2" x14ac:dyDescent="0.3">
      <c r="A7" s="6">
        <v>3</v>
      </c>
      <c r="B7" s="6" t="s">
        <v>126</v>
      </c>
    </row>
    <row r="8" spans="1:2" x14ac:dyDescent="0.3">
      <c r="A8" s="6">
        <v>4</v>
      </c>
      <c r="B8" s="6" t="s">
        <v>127</v>
      </c>
    </row>
    <row r="9" spans="1:2" x14ac:dyDescent="0.3">
      <c r="A9" s="6">
        <v>5</v>
      </c>
      <c r="B9" s="6" t="s">
        <v>128</v>
      </c>
    </row>
    <row r="10" spans="1:2" x14ac:dyDescent="0.3">
      <c r="A10" s="6">
        <v>6</v>
      </c>
      <c r="B10" s="6" t="s">
        <v>129</v>
      </c>
    </row>
    <row r="11" spans="1:2" x14ac:dyDescent="0.3">
      <c r="A11" s="6">
        <v>7</v>
      </c>
      <c r="B11" s="6" t="s">
        <v>130</v>
      </c>
    </row>
    <row r="12" spans="1:2" x14ac:dyDescent="0.3">
      <c r="A12" s="6">
        <v>8</v>
      </c>
      <c r="B12" s="6" t="s">
        <v>131</v>
      </c>
    </row>
    <row r="13" spans="1:2" x14ac:dyDescent="0.3">
      <c r="A13" s="6">
        <v>9</v>
      </c>
      <c r="B13" s="6" t="s">
        <v>132</v>
      </c>
    </row>
    <row r="14" spans="1:2" x14ac:dyDescent="0.3">
      <c r="A14" s="6">
        <v>10</v>
      </c>
      <c r="B14" s="6" t="s">
        <v>133</v>
      </c>
    </row>
    <row r="15" spans="1:2" x14ac:dyDescent="0.3">
      <c r="A15" s="6">
        <v>11</v>
      </c>
      <c r="B15" s="6" t="s">
        <v>134</v>
      </c>
    </row>
    <row r="16" spans="1:2" x14ac:dyDescent="0.3">
      <c r="A16" s="6">
        <v>12</v>
      </c>
      <c r="B16" s="6" t="s">
        <v>135</v>
      </c>
    </row>
    <row r="17" spans="1:2" x14ac:dyDescent="0.3">
      <c r="A17" s="6">
        <v>13</v>
      </c>
      <c r="B17" s="6" t="s">
        <v>136</v>
      </c>
    </row>
    <row r="18" spans="1:2" x14ac:dyDescent="0.3">
      <c r="A18" s="6">
        <v>14</v>
      </c>
      <c r="B18" s="6" t="s">
        <v>137</v>
      </c>
    </row>
    <row r="19" spans="1:2" x14ac:dyDescent="0.3">
      <c r="A19" s="6">
        <v>15</v>
      </c>
      <c r="B19" s="6" t="s">
        <v>138</v>
      </c>
    </row>
    <row r="20" spans="1:2" x14ac:dyDescent="0.3">
      <c r="A20" s="6">
        <v>16</v>
      </c>
      <c r="B20" s="6" t="s">
        <v>139</v>
      </c>
    </row>
    <row r="21" spans="1:2" x14ac:dyDescent="0.3">
      <c r="A21" s="6">
        <v>17</v>
      </c>
      <c r="B21" s="6" t="s">
        <v>140</v>
      </c>
    </row>
    <row r="22" spans="1:2" x14ac:dyDescent="0.3">
      <c r="A22" s="6">
        <v>18</v>
      </c>
      <c r="B22" s="6" t="s">
        <v>141</v>
      </c>
    </row>
    <row r="23" spans="1:2" x14ac:dyDescent="0.3">
      <c r="A23" s="6">
        <v>19</v>
      </c>
      <c r="B23" s="6" t="s">
        <v>142</v>
      </c>
    </row>
    <row r="24" spans="1:2" ht="26.4" x14ac:dyDescent="0.3">
      <c r="A24" s="6">
        <v>20</v>
      </c>
      <c r="B24" s="6" t="s">
        <v>143</v>
      </c>
    </row>
    <row r="25" spans="1:2" x14ac:dyDescent="0.3">
      <c r="A25" s="6">
        <v>21</v>
      </c>
      <c r="B25" s="6" t="s">
        <v>144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Issues Log</vt:lpstr>
      <vt:lpstr>KPI Scope</vt:lpstr>
      <vt:lpstr>Process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2026-10-09T23:35:02Z</dcterms:created>
  <dcterms:modified xsi:type="dcterms:W3CDTF">2026-10-09T23:36:12Z</dcterms:modified>
  <dc:language/>
</cp:coreProperties>
</file>