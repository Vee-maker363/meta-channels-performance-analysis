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Joker\0Ad2026\Intership\Task02\SECOND DATA FOR GROUP 3\"/>
    </mc:Choice>
  </mc:AlternateContent>
  <xr:revisionPtr revIDLastSave="0" documentId="13_ncr:1_{E2AF6087-7AE2-4343-8F06-A5F0EEBAD19B}" xr6:coauthVersionLast="47" xr6:coauthVersionMax="47" xr10:uidLastSave="{00000000-0000-0000-0000-000000000000}"/>
  <bookViews>
    <workbookView xWindow="28680" yWindow="-120" windowWidth="29040" windowHeight="15720" tabRatio="500" activeTab="1" xr2:uid="{00000000-000D-0000-FFFF-FFFF00000000}"/>
  </bookViews>
  <sheets>
    <sheet name="Reach(2)" sheetId="1" r:id="rId1"/>
    <sheet name="FB_original_data" sheetId="2" r:id="rId2"/>
    <sheet name="Ins_original_data" sheetId="3" r:id="rId3"/>
    <sheet name="Pivot_summary" sheetId="4" r:id="rId4"/>
    <sheet name="Combo" sheetId="5" r:id="rId5"/>
  </sheet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" i="4" l="1"/>
  <c r="L8" i="4"/>
  <c r="K8" i="4"/>
  <c r="J8" i="4"/>
  <c r="E16" i="4" s="1"/>
  <c r="I8" i="4"/>
  <c r="D16" i="4" s="1"/>
  <c r="M7" i="4"/>
  <c r="L7" i="4"/>
  <c r="K7" i="4"/>
  <c r="J7" i="4"/>
  <c r="E15" i="4" s="1"/>
  <c r="I7" i="4"/>
  <c r="D15" i="4" s="1"/>
  <c r="M6" i="4"/>
  <c r="L6" i="4"/>
  <c r="K6" i="4"/>
  <c r="J6" i="4"/>
  <c r="E14" i="4" s="1"/>
  <c r="I6" i="4"/>
  <c r="D14" i="4" s="1"/>
</calcChain>
</file>

<file path=xl/sharedStrings.xml><?xml version="1.0" encoding="utf-8"?>
<sst xmlns="http://schemas.openxmlformats.org/spreadsheetml/2006/main" count="557" uniqueCount="158">
  <si>
    <t>Months</t>
  </si>
  <si>
    <t>FB_Reach_MoM% Change</t>
  </si>
  <si>
    <t>IG_Reach_MoM% Change</t>
  </si>
  <si>
    <t>FB_Likes_MoM% Change</t>
  </si>
  <si>
    <t>IG_Likes_MoM% Change</t>
  </si>
  <si>
    <t>Ad_Spend_MoM%_Change</t>
  </si>
  <si>
    <t>FB_Page_Reach</t>
  </si>
  <si>
    <t>IG_Page_Reach</t>
  </si>
  <si>
    <t>FB_Page_Likes</t>
  </si>
  <si>
    <t>IG_Page_Followers</t>
  </si>
  <si>
    <t>AD_Spend</t>
  </si>
  <si>
    <t>Jan</t>
  </si>
  <si>
    <t>Feb</t>
  </si>
  <si>
    <t>Mar</t>
  </si>
  <si>
    <t>Apr</t>
  </si>
  <si>
    <t>KPI_1</t>
  </si>
  <si>
    <t>FB_Reach</t>
  </si>
  <si>
    <t>IG_Reach</t>
  </si>
  <si>
    <t>FB_Reach_MoM%</t>
  </si>
  <si>
    <t>IG_Reach_MoM%</t>
  </si>
  <si>
    <t>Facebook Page reach</t>
  </si>
  <si>
    <t>Date</t>
  </si>
  <si>
    <t>2023-01-01T00:00:00</t>
  </si>
  <si>
    <t>2023-01-02T00:00:00</t>
  </si>
  <si>
    <t>2023-01-03T00:00:00</t>
  </si>
  <si>
    <t>2023-01-04T00:00:00</t>
  </si>
  <si>
    <t>2023-01-05T00:00:00</t>
  </si>
  <si>
    <t>2023-01-06T00:00:00</t>
  </si>
  <si>
    <t>2023-01-07T00:00:00</t>
  </si>
  <si>
    <t>2023-01-08T00:00:00</t>
  </si>
  <si>
    <t>2023-01-09T00:00:00</t>
  </si>
  <si>
    <t>2023-01-10T00:00:00</t>
  </si>
  <si>
    <t>2023-01-11T00:00:00</t>
  </si>
  <si>
    <t>2023-01-12T00:00:00</t>
  </si>
  <si>
    <t>2023-01-13T00:00:00</t>
  </si>
  <si>
    <t>2023-01-14T00:00:00</t>
  </si>
  <si>
    <t>2023-01-15T00:00:00</t>
  </si>
  <si>
    <t>2023-01-16T00:00:00</t>
  </si>
  <si>
    <t>2023-01-17T00:00:00</t>
  </si>
  <si>
    <t>2023-01-18T00:00:00</t>
  </si>
  <si>
    <t>2023-01-19T00:00:00</t>
  </si>
  <si>
    <t>2023-01-20T00:00:00</t>
  </si>
  <si>
    <t>2023-01-21T00:00:00</t>
  </si>
  <si>
    <t>2023-01-22T00:00:00</t>
  </si>
  <si>
    <t>2023-01-23T00:00:00</t>
  </si>
  <si>
    <t>2023-01-24T00:00:00</t>
  </si>
  <si>
    <t>2023-01-25T00:00:00</t>
  </si>
  <si>
    <t>2023-01-26T00:00:00</t>
  </si>
  <si>
    <t>2023-01-27T00:00:00</t>
  </si>
  <si>
    <t>2023-01-28T00:00:00</t>
  </si>
  <si>
    <t>2023-01-29T00:00:00</t>
  </si>
  <si>
    <t>2023-01-30T00:00:00</t>
  </si>
  <si>
    <t>2023-01-31T00:00:00</t>
  </si>
  <si>
    <t>2023-02-01T00:00:00</t>
  </si>
  <si>
    <t>2023-02-02T00:00:00</t>
  </si>
  <si>
    <t>2023-02-03T00:00:00</t>
  </si>
  <si>
    <t>2023-02-04T00:00:00</t>
  </si>
  <si>
    <t>2023-02-05T00:00:00</t>
  </si>
  <si>
    <t>2023-02-06T00:00:00</t>
  </si>
  <si>
    <t>2023-02-07T00:00:00</t>
  </si>
  <si>
    <t>2023-02-08T00:00:00</t>
  </si>
  <si>
    <t>2023-02-09T00:00:00</t>
  </si>
  <si>
    <t>2023-02-10T00:00:00</t>
  </si>
  <si>
    <t>2023-02-11T00:00:00</t>
  </si>
  <si>
    <t>2023-02-12T00:00:00</t>
  </si>
  <si>
    <t>2023-02-13T00:00:00</t>
  </si>
  <si>
    <t>2023-02-14T00:00:00</t>
  </si>
  <si>
    <t>2023-02-15T00:00:00</t>
  </si>
  <si>
    <t>2023-02-16T00:00:00</t>
  </si>
  <si>
    <t>2023-02-17T00:00:00</t>
  </si>
  <si>
    <t>2023-02-18T00:00:00</t>
  </si>
  <si>
    <t>2023-02-19T00:00:00</t>
  </si>
  <si>
    <t>2023-02-20T00:00:00</t>
  </si>
  <si>
    <t>2023-02-21T00:00:00</t>
  </si>
  <si>
    <t>2023-02-22T00:00:00</t>
  </si>
  <si>
    <t>2023-02-23T00:00:00</t>
  </si>
  <si>
    <t>2023-02-24T00:00:00</t>
  </si>
  <si>
    <t>2023-02-25T00:00:00</t>
  </si>
  <si>
    <t>2023-02-26T00:00:00</t>
  </si>
  <si>
    <t>2023-02-27T00:00:00</t>
  </si>
  <si>
    <t>2023-02-28T00:00:00</t>
  </si>
  <si>
    <t>2023-03-01T00:00:00</t>
  </si>
  <si>
    <t>2023-03-02T00:00:00</t>
  </si>
  <si>
    <t>2023-03-03T00:00:00</t>
  </si>
  <si>
    <t>2023-03-04T00:00:00</t>
  </si>
  <si>
    <t>2023-03-05T00:00:00</t>
  </si>
  <si>
    <t>2023-03-06T00:00:00</t>
  </si>
  <si>
    <t>2023-03-07T00:00:00</t>
  </si>
  <si>
    <t>2023-03-08T00:00:00</t>
  </si>
  <si>
    <t>2023-03-09T00:00:00</t>
  </si>
  <si>
    <t>2023-03-10T00:00:00</t>
  </si>
  <si>
    <t>2023-03-11T00:00:00</t>
  </si>
  <si>
    <t>2023-03-12T00:00:00</t>
  </si>
  <si>
    <t>2023-03-13T00:00:00</t>
  </si>
  <si>
    <t>2023-03-14T00:00:00</t>
  </si>
  <si>
    <t>2023-03-15T00:00:00</t>
  </si>
  <si>
    <t>2023-03-16T00:00:00</t>
  </si>
  <si>
    <t>2023-03-17T00:00:00</t>
  </si>
  <si>
    <t>2023-03-18T00:00:00</t>
  </si>
  <si>
    <t>2023-03-19T00:00:00</t>
  </si>
  <si>
    <t>2023-03-20T00:00:00</t>
  </si>
  <si>
    <t>2023-03-21T00:00:00</t>
  </si>
  <si>
    <t>2023-03-22T00:00:00</t>
  </si>
  <si>
    <t>2023-03-23T00:00:00</t>
  </si>
  <si>
    <t>2023-03-24T00:00:00</t>
  </si>
  <si>
    <t>2023-03-25T00:00:00</t>
  </si>
  <si>
    <t>2023-03-26T00:00:00</t>
  </si>
  <si>
    <t>2023-03-27T00:00:00</t>
  </si>
  <si>
    <t>2023-03-28T00:00:00</t>
  </si>
  <si>
    <t>2023-03-29T00:00:00</t>
  </si>
  <si>
    <t>2023-03-30T00:00:00</t>
  </si>
  <si>
    <t>2023-03-31T00:00:00</t>
  </si>
  <si>
    <t>2023-04-01T00:00:00</t>
  </si>
  <si>
    <t>2023-04-02T00:00:00</t>
  </si>
  <si>
    <t>2023-04-03T00:00:00</t>
  </si>
  <si>
    <t>2023-04-04T00:00:00</t>
  </si>
  <si>
    <t>2023-04-05T00:00:00</t>
  </si>
  <si>
    <t>2023-04-06T00:00:00</t>
  </si>
  <si>
    <t>2023-04-07T00:00:00</t>
  </si>
  <si>
    <t>2023-04-08T00:00:00</t>
  </si>
  <si>
    <t>2023-04-09T00:00:00</t>
  </si>
  <si>
    <t>2023-04-10T00:00:00</t>
  </si>
  <si>
    <t>2023-04-11T00:00:00</t>
  </si>
  <si>
    <t>2023-04-12T00:00:00</t>
  </si>
  <si>
    <t>2023-04-13T00:00:00</t>
  </si>
  <si>
    <t>2023-04-14T00:00:00</t>
  </si>
  <si>
    <t>2023-04-15T00:00:00</t>
  </si>
  <si>
    <t>2023-04-16T00:00:00</t>
  </si>
  <si>
    <t>2023-04-17T00:00:00</t>
  </si>
  <si>
    <t>2023-04-18T00:00:00</t>
  </si>
  <si>
    <t>2023-04-19T00:00:00</t>
  </si>
  <si>
    <t>2023-04-20T00:00:00</t>
  </si>
  <si>
    <t>2023-04-21T00:00:00</t>
  </si>
  <si>
    <t>2023-04-22T00:00:00</t>
  </si>
  <si>
    <t>2023-04-23T00:00:00</t>
  </si>
  <si>
    <t>2023-04-24T00:00:00</t>
  </si>
  <si>
    <t>2023-04-25T00:00:00</t>
  </si>
  <si>
    <t>2023-04-26T00:00:00</t>
  </si>
  <si>
    <t>2023-04-27T00:00:00</t>
  </si>
  <si>
    <t>2023-04-28T00:00:00</t>
  </si>
  <si>
    <t>2023-04-29T00:00:00</t>
  </si>
  <si>
    <t>2023-04-30T00:00:00</t>
  </si>
  <si>
    <t>Instagram reach</t>
  </si>
  <si>
    <t>Facebook Page likes</t>
  </si>
  <si>
    <t xml:space="preserve">Date </t>
  </si>
  <si>
    <t>Instagram followers</t>
  </si>
  <si>
    <t>AD_ACCOUNT,IMPRESSION,UNIQUE_USERS</t>
  </si>
  <si>
    <t>AD_ACCOUNT,SPEND,COUNT</t>
  </si>
  <si>
    <t>Values</t>
  </si>
  <si>
    <t>Row Labels</t>
  </si>
  <si>
    <t>Grand Total</t>
  </si>
  <si>
    <t>KPI_2</t>
  </si>
  <si>
    <t>Month</t>
  </si>
  <si>
    <t>FB_Likes</t>
  </si>
  <si>
    <t>IG_Followers</t>
  </si>
  <si>
    <t>KPI_3</t>
  </si>
  <si>
    <t>Ad_Spending</t>
  </si>
  <si>
    <t>KPI_4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</si>
</sst>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yy;@"/>
    <numFmt numFmtId="165" formatCode="_-[$£-809]* #,##0.00_-;\-[$£-809]* #,##0.00_-;_-[$£-809]* \-??_-;_-@_-"/>
    <numFmt numFmtId="166" formatCode="_(* #,##0_);_(* \(#,##0\);_(* \-??_);_(@_)"/>
    <numFmt numFmtId="167" formatCode="_-[$£-809]* #,##0.00_-;\-[$£-809]* #,##0.00_-;_-[$£-809]* &quot;-&quot;??_-;_-@_-"/>
  </numFmts>
  <fonts count="4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>
      <alignment horizontal="left"/>
    </xf>
  </cellStyleXfs>
  <cellXfs count="21">
    <xf numFmtId="0" fontId="0" fillId="0" borderId="0" xfId="0"/>
    <xf numFmtId="0" fontId="1" fillId="0" borderId="0" xfId="0" applyFont="1"/>
    <xf numFmtId="164" fontId="0" fillId="0" borderId="0" xfId="0" applyNumberFormat="1"/>
    <xf numFmtId="164" fontId="0" fillId="2" borderId="0" xfId="0" applyNumberFormat="1" applyFill="1"/>
    <xf numFmtId="0" fontId="0" fillId="2" borderId="0" xfId="0" applyFill="1"/>
    <xf numFmtId="14" fontId="0" fillId="0" borderId="0" xfId="0" applyNumberFormat="1"/>
    <xf numFmtId="0" fontId="1" fillId="0" borderId="1" xfId="0" applyFont="1" applyBorder="1"/>
    <xf numFmtId="165" fontId="0" fillId="0" borderId="0" xfId="0" applyNumberFormat="1"/>
    <xf numFmtId="165" fontId="0" fillId="0" borderId="1" xfId="0" applyNumberFormat="1" applyBorder="1"/>
    <xf numFmtId="0" fontId="0" fillId="0" borderId="1" xfId="0" applyBorder="1"/>
    <xf numFmtId="10" fontId="0" fillId="0" borderId="1" xfId="0" applyNumberFormat="1" applyBorder="1"/>
    <xf numFmtId="0" fontId="0" fillId="0" borderId="0" xfId="0" applyAlignment="1">
      <alignment horizontal="left"/>
    </xf>
    <xf numFmtId="166" fontId="0" fillId="0" borderId="1" xfId="0" applyNumberFormat="1" applyBorder="1"/>
    <xf numFmtId="164" fontId="1" fillId="0" borderId="0" xfId="0" applyNumberFormat="1" applyFont="1"/>
    <xf numFmtId="0" fontId="0" fillId="0" borderId="0" xfId="0" pivotButton="1"/>
    <xf numFmtId="0" fontId="3" fillId="0" borderId="0" xfId="0" applyFont="1"/>
    <xf numFmtId="0" fontId="3" fillId="0" borderId="1" xfId="0" applyFont="1" applyBorder="1"/>
    <xf numFmtId="167" fontId="0" fillId="0" borderId="1" xfId="0" applyNumberFormat="1" applyBorder="1"/>
    <xf numFmtId="0" fontId="0" fillId="0" borderId="1" xfId="0" pivotButton="1" applyBorder="1"/>
    <xf numFmtId="0" fontId="0" fillId="0" borderId="1" xfId="0" applyBorder="1" applyAlignment="1">
      <alignment horizontal="left"/>
    </xf>
    <xf numFmtId="166" fontId="2" fillId="0" borderId="1" xfId="0" applyNumberFormat="1" applyFont="1" applyBorder="1"/>
  </cellXfs>
  <cellStyles count="5">
    <cellStyle name="Normal" xfId="0" builtinId="0"/>
    <cellStyle name="Pivot Table Category" xfId="4" xr:uid="{00000000-0005-0000-0000-000009000000}"/>
    <cellStyle name="Pivot Table Corner" xfId="1" xr:uid="{00000000-0005-0000-0000-000006000000}"/>
    <cellStyle name="Pivot Table Field" xfId="3" xr:uid="{00000000-0005-0000-0000-000008000000}"/>
    <cellStyle name="Pivot Table Value" xfId="2" xr:uid="{00000000-0005-0000-0000-00000700000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7" formatCode="_-[$£-809]* #,##0.00_-;\-[$£-809]* #,##0.00_-;_-[$£-809]* &quot;-&quot;??_-;_-@_-"/>
    </dxf>
    <dxf>
      <numFmt numFmtId="166" formatCode="_(* #,##0_);_(* \(#,##0\);_(* \-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numFmt numFmtId="168" formatCode="_(* #,##0.00_);_(* \(#,##0.00\);_(* \-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lang="en-US" sz="20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2000" b="1" strike="noStrike" spc="-1">
                <a:solidFill>
                  <a:srgbClr val="000000"/>
                </a:solidFill>
                <a:latin typeface="Calibri"/>
              </a:rPr>
              <a:t>FaceBook and Instagram Reach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Pivot_summary!$B$12</c:f>
              <c:strCache>
                <c:ptCount val="1"/>
                <c:pt idx="0">
                  <c:v>FB_Reach</c:v>
                </c:pt>
              </c:strCache>
            </c:strRef>
          </c:tx>
          <c:spPr>
            <a:solidFill>
              <a:srgbClr val="5B9BD5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Pivot_summary!$A$13:$A$16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Pivot_summary!$B$13:$B$16</c:f>
              <c:numCache>
                <c:formatCode>_(* #,##0_);_(* \(#,##0\);_(* \-??_);_(@_)</c:formatCode>
                <c:ptCount val="4"/>
                <c:pt idx="0">
                  <c:v>211093</c:v>
                </c:pt>
                <c:pt idx="1">
                  <c:v>250753</c:v>
                </c:pt>
                <c:pt idx="2">
                  <c:v>116110</c:v>
                </c:pt>
                <c:pt idx="3">
                  <c:v>278785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4C-458D-8482-E9BAF472CF1B}"/>
            </c:ext>
          </c:extLst>
        </c:ser>
        <c:ser>
          <c:idx val="1"/>
          <c:order val="1"/>
          <c:tx>
            <c:strRef>
              <c:f>Pivot_summary!$C$12</c:f>
              <c:strCache>
                <c:ptCount val="1"/>
                <c:pt idx="0">
                  <c:v>IG_Reach</c:v>
                </c:pt>
              </c:strCache>
            </c:strRef>
          </c:tx>
          <c:spPr>
            <a:solidFill>
              <a:srgbClr val="ED7D31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Pivot_summary!$A$13:$A$16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Pivot_summary!$C$13:$C$16</c:f>
              <c:numCache>
                <c:formatCode>_(* #,##0_);_(* \(#,##0\);_(* \-??_);_(@_)</c:formatCode>
                <c:ptCount val="4"/>
                <c:pt idx="0">
                  <c:v>58377</c:v>
                </c:pt>
                <c:pt idx="1">
                  <c:v>53194</c:v>
                </c:pt>
                <c:pt idx="2">
                  <c:v>34183</c:v>
                </c:pt>
                <c:pt idx="3">
                  <c:v>45283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4C-458D-8482-E9BAF472CF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299546"/>
        <c:axId val="19166132"/>
      </c:barChart>
      <c:catAx>
        <c:axId val="9629954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prstDash val="solid"/>
            <a:round/>
          </a:ln>
        </c:spPr>
        <c:txPr>
          <a:bodyPr/>
          <a:lstStyle/>
          <a:p>
            <a:pPr>
              <a:defRPr sz="1200" b="1" strike="noStrike" spc="-1">
                <a:solidFill>
                  <a:sysClr val="windowText" lastClr="000000"/>
                </a:solidFill>
                <a:latin typeface="Calibri"/>
              </a:defRPr>
            </a:pPr>
            <a:endParaRPr lang="en-US"/>
          </a:p>
        </c:txPr>
        <c:crossAx val="19166132"/>
        <c:crosses val="autoZero"/>
        <c:auto val="1"/>
        <c:lblAlgn val="ctr"/>
        <c:lblOffset val="100"/>
        <c:noMultiLvlLbl val="0"/>
      </c:catAx>
      <c:valAx>
        <c:axId val="1916613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prstDash val="solid"/>
              <a:round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Reach Count</a:t>
                </a:r>
              </a:p>
            </c:rich>
          </c:tx>
          <c:overlay val="0"/>
        </c:title>
        <c:numFmt formatCode="_(* #,##0_);_(* \(#,##0\);_(* \-??_);_(@_)" sourceLinked="0"/>
        <c:majorTickMark val="none"/>
        <c:minorTickMark val="none"/>
        <c:tickLblPos val="nextTo"/>
        <c:spPr>
          <a:ln w="6480">
            <a:noFill/>
            <a:prstDash val="solid"/>
          </a:ln>
        </c:spPr>
        <c:txPr>
          <a:bodyPr/>
          <a:lstStyle/>
          <a:p>
            <a:pPr>
              <a:defRPr sz="900" b="1" strike="noStrike" spc="-1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</a:defRPr>
            </a:pPr>
            <a:endParaRPr lang="en-US"/>
          </a:p>
        </c:txPr>
        <c:crossAx val="96299546"/>
        <c:crosses val="autoZero"/>
        <c:crossBetween val="between"/>
      </c:valAx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chemeClr val="bg1">
          <a:lumMod val="50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lang="en-US" sz="20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2000" b="1" strike="noStrike" spc="-1">
                <a:solidFill>
                  <a:srgbClr val="000000"/>
                </a:solidFill>
                <a:latin typeface="Calibri"/>
              </a:rPr>
              <a:t>FaceBook and Instagram MoM% Reach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Pivot_summary!$I$4:$I$5</c:f>
              <c:strCache>
                <c:ptCount val="2"/>
                <c:pt idx="0">
                  <c:v>FB_Reach_MoM% Change</c:v>
                </c:pt>
              </c:strCache>
            </c:strRef>
          </c:tx>
          <c:spPr>
            <a:solidFill>
              <a:srgbClr val="5B9BD5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Pivot_summary!$H$6:$H$8</c:f>
              <c:strCache>
                <c:ptCount val="3"/>
                <c:pt idx="0">
                  <c:v> Feb </c:v>
                </c:pt>
                <c:pt idx="1">
                  <c:v> Mar </c:v>
                </c:pt>
                <c:pt idx="2">
                  <c:v> Apr </c:v>
                </c:pt>
              </c:strCache>
            </c:strRef>
          </c:cat>
          <c:val>
            <c:numRef>
              <c:f>Pivot_summary!$I$6:$I$8</c:f>
              <c:numCache>
                <c:formatCode>0.00%</c:formatCode>
                <c:ptCount val="3"/>
                <c:pt idx="0">
                  <c:v>0.18787927595893752</c:v>
                </c:pt>
                <c:pt idx="1">
                  <c:v>-0.53695469246629157</c:v>
                </c:pt>
                <c:pt idx="2">
                  <c:v>1.4010421152355526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97-4197-A5F2-2E5DF2B0C260}"/>
            </c:ext>
          </c:extLst>
        </c:ser>
        <c:ser>
          <c:idx val="1"/>
          <c:order val="1"/>
          <c:tx>
            <c:strRef>
              <c:f>Pivot_summary!$J$4:$J$5</c:f>
              <c:strCache>
                <c:ptCount val="2"/>
                <c:pt idx="0">
                  <c:v>IG_Reach_MoM% Change</c:v>
                </c:pt>
              </c:strCache>
            </c:strRef>
          </c:tx>
          <c:spPr>
            <a:solidFill>
              <a:srgbClr val="ED7D31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Pivot_summary!$H$6:$H$8</c:f>
              <c:strCache>
                <c:ptCount val="3"/>
                <c:pt idx="0">
                  <c:v> Feb </c:v>
                </c:pt>
                <c:pt idx="1">
                  <c:v> Mar </c:v>
                </c:pt>
                <c:pt idx="2">
                  <c:v> Apr </c:v>
                </c:pt>
              </c:strCache>
            </c:strRef>
          </c:cat>
          <c:val>
            <c:numRef>
              <c:f>Pivot_summary!$J$6:$J$8</c:f>
              <c:numCache>
                <c:formatCode>0.00%</c:formatCode>
                <c:ptCount val="3"/>
                <c:pt idx="0">
                  <c:v>-8.8784966682083702E-2</c:v>
                </c:pt>
                <c:pt idx="1">
                  <c:v>-0.35738993119524759</c:v>
                </c:pt>
                <c:pt idx="2">
                  <c:v>0.32472281543457276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97-4197-A5F2-2E5DF2B0C2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6350"/>
        <c:axId val="99245240"/>
      </c:barChart>
      <c:catAx>
        <c:axId val="33635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D9D9D9"/>
            </a:solidFill>
            <a:prstDash val="solid"/>
            <a:round/>
          </a:ln>
        </c:spPr>
        <c:txPr>
          <a:bodyPr/>
          <a:lstStyle/>
          <a:p>
            <a:pPr>
              <a:defRPr sz="1200" b="0" strike="noStrike" spc="-1">
                <a:solidFill>
                  <a:sysClr val="windowText" lastClr="000000"/>
                </a:solidFill>
                <a:latin typeface="Calibri"/>
              </a:defRPr>
            </a:pPr>
            <a:endParaRPr lang="en-US"/>
          </a:p>
        </c:txPr>
        <c:crossAx val="99245240"/>
        <c:crosses val="autoZero"/>
        <c:auto val="1"/>
        <c:lblAlgn val="ctr"/>
        <c:lblOffset val="100"/>
        <c:noMultiLvlLbl val="0"/>
      </c:catAx>
      <c:valAx>
        <c:axId val="9924524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prstDash val="solid"/>
              <a:round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MoM</a:t>
                </a:r>
                <a:r>
                  <a:rPr lang="en-US" baseline="0"/>
                  <a:t> %</a:t>
                </a:r>
                <a:endParaRPr lang="en-US"/>
              </a:p>
            </c:rich>
          </c:tx>
          <c:overlay val="0"/>
        </c:title>
        <c:numFmt formatCode="0.00%" sourceLinked="0"/>
        <c:majorTickMark val="out"/>
        <c:minorTickMark val="none"/>
        <c:tickLblPos val="nextTo"/>
        <c:spPr>
          <a:ln w="6480">
            <a:noFill/>
            <a:prstDash val="solid"/>
          </a:ln>
        </c:spPr>
        <c:txPr>
          <a:bodyPr/>
          <a:lstStyle/>
          <a:p>
            <a:pPr>
              <a:defRPr sz="900" b="1" strike="noStrike" spc="-1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</a:defRPr>
            </a:pPr>
            <a:endParaRPr lang="en-US"/>
          </a:p>
        </c:txPr>
        <c:crossAx val="336350"/>
        <c:crosses val="autoZero"/>
        <c:crossBetween val="between"/>
      </c:valAx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chemeClr val="bg1">
          <a:lumMod val="50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solidFill>
                  <a:sysClr val="windowText" lastClr="000000"/>
                </a:solidFill>
              </a:rPr>
              <a:t>Like</a:t>
            </a:r>
            <a:r>
              <a:rPr lang="en-US" sz="2000" b="1" baseline="0">
                <a:solidFill>
                  <a:sysClr val="windowText" lastClr="000000"/>
                </a:solidFill>
              </a:rPr>
              <a:t>s Vs Followers</a:t>
            </a:r>
            <a:endParaRPr lang="en-US" sz="20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Pivot_summary!$B$39</c:f>
              <c:strCache>
                <c:ptCount val="1"/>
                <c:pt idx="0">
                  <c:v>FB_Likes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Pivot_summary!$A$40:$A$43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Pivot_summary!$B$40:$B$43</c:f>
              <c:numCache>
                <c:formatCode>General</c:formatCode>
                <c:ptCount val="4"/>
                <c:pt idx="0">
                  <c:v>1219</c:v>
                </c:pt>
                <c:pt idx="1">
                  <c:v>962</c:v>
                </c:pt>
                <c:pt idx="2">
                  <c:v>417</c:v>
                </c:pt>
                <c:pt idx="3">
                  <c:v>491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EE-48B7-B23C-06DF42D6A248}"/>
            </c:ext>
          </c:extLst>
        </c:ser>
        <c:ser>
          <c:idx val="1"/>
          <c:order val="1"/>
          <c:tx>
            <c:strRef>
              <c:f>Pivot_summary!$C$39</c:f>
              <c:strCache>
                <c:ptCount val="1"/>
                <c:pt idx="0">
                  <c:v>IG_Followers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Pivot_summary!$A$40:$A$43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Pivot_summary!$C$40:$C$43</c:f>
              <c:numCache>
                <c:formatCode>General</c:formatCode>
                <c:ptCount val="4"/>
                <c:pt idx="0">
                  <c:v>949</c:v>
                </c:pt>
                <c:pt idx="1">
                  <c:v>806</c:v>
                </c:pt>
                <c:pt idx="2">
                  <c:v>621</c:v>
                </c:pt>
                <c:pt idx="3">
                  <c:v>812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EE-48B7-B23C-06DF42D6A2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389423"/>
        <c:axId val="2135641344"/>
      </c:barChart>
      <c:catAx>
        <c:axId val="78389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5641344"/>
        <c:crosses val="autoZero"/>
        <c:auto val="1"/>
        <c:lblAlgn val="ctr"/>
        <c:lblOffset val="100"/>
        <c:noMultiLvlLbl val="0"/>
      </c:catAx>
      <c:valAx>
        <c:axId val="213564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Likes &amp; Followers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389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solidFill>
                  <a:sysClr val="windowText" lastClr="000000"/>
                </a:solidFill>
              </a:rPr>
              <a:t>Trend</a:t>
            </a:r>
            <a:r>
              <a:rPr lang="en-US" sz="2000" b="1" baseline="0">
                <a:solidFill>
                  <a:sysClr val="windowText" lastClr="000000"/>
                </a:solidFill>
              </a:rPr>
              <a:t> Diagram Showing Ad Spending.</a:t>
            </a:r>
            <a:endParaRPr lang="en-US" sz="20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Pivot_summary!$B$65</c:f>
              <c:strCache>
                <c:ptCount val="1"/>
                <c:pt idx="0">
                  <c:v>Ad_Spending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Pivot_summary!$A$66:$A$69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Pivot_summary!$B$66:$B$69</c:f>
              <c:numCache>
                <c:formatCode>_-[$£-809]* #,##0.00_-;\-[$£-809]* #,##0.00_-;_-[$£-809]* "-"??_-;_-@_-</c:formatCode>
                <c:ptCount val="4"/>
                <c:pt idx="0">
                  <c:v>1012.55</c:v>
                </c:pt>
                <c:pt idx="1">
                  <c:v>1383.2600000000004</c:v>
                </c:pt>
                <c:pt idx="2">
                  <c:v>642.83000000000015</c:v>
                </c:pt>
                <c:pt idx="3">
                  <c:v>1920.3999999999994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00-4821-BC03-FC96588D9BF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81946335"/>
        <c:axId val="2135636544"/>
      </c:lineChart>
      <c:catAx>
        <c:axId val="81946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5636544"/>
        <c:crosses val="autoZero"/>
        <c:auto val="1"/>
        <c:lblAlgn val="ctr"/>
        <c:lblOffset val="100"/>
        <c:noMultiLvlLbl val="0"/>
      </c:catAx>
      <c:valAx>
        <c:axId val="21356365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Ad_Spending (GBP)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[$£-809]* #,##0.00_-;\-[$£-809]* #,##0.00_-;_-[$£-8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946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solidFill>
                  <a:sysClr val="windowText" lastClr="000000"/>
                </a:solidFill>
              </a:rPr>
              <a:t>Ad_Spend</a:t>
            </a:r>
            <a:r>
              <a:rPr lang="en-US" sz="2000" b="1" baseline="0">
                <a:solidFill>
                  <a:sysClr val="windowText" lastClr="000000"/>
                </a:solidFill>
              </a:rPr>
              <a:t> </a:t>
            </a:r>
            <a:r>
              <a:rPr lang="en-US" sz="2000" b="1">
                <a:solidFill>
                  <a:sysClr val="windowText" lastClr="000000"/>
                </a:solidFill>
              </a:rPr>
              <a:t>MoM % Change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Pivot_summary!$B$85:$B$86</c:f>
              <c:strCache>
                <c:ptCount val="2"/>
                <c:pt idx="0">
                  <c:v>Ad_Spend_MoM%_Change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Pivot_summary!$A$87:$A$89</c:f>
              <c:strCache>
                <c:ptCount val="3"/>
                <c:pt idx="0">
                  <c:v>Feb</c:v>
                </c:pt>
                <c:pt idx="1">
                  <c:v>Mar</c:v>
                </c:pt>
                <c:pt idx="2">
                  <c:v>Apr</c:v>
                </c:pt>
              </c:strCache>
            </c:strRef>
          </c:cat>
          <c:val>
            <c:numRef>
              <c:f>Pivot_summary!$B$87:$B$89</c:f>
              <c:numCache>
                <c:formatCode>0.00%</c:formatCode>
                <c:ptCount val="3"/>
                <c:pt idx="0">
                  <c:v>0.36611525356772556</c:v>
                </c:pt>
                <c:pt idx="1">
                  <c:v>-0.53527897864465113</c:v>
                </c:pt>
                <c:pt idx="2">
                  <c:v>1.9874150241899087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4A-4725-8F28-5D56C733257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39451663"/>
        <c:axId val="1671539327"/>
      </c:barChart>
      <c:catAx>
        <c:axId val="1739451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539327"/>
        <c:crosses val="autoZero"/>
        <c:auto val="1"/>
        <c:lblAlgn val="ctr"/>
        <c:lblOffset val="100"/>
        <c:noMultiLvlLbl val="0"/>
      </c:catAx>
      <c:valAx>
        <c:axId val="1671539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MoM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9451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62910</xdr:colOff>
      <xdr:row>16</xdr:row>
      <xdr:rowOff>160875</xdr:rowOff>
    </xdr:from>
    <xdr:to>
      <xdr:col>5</xdr:col>
      <xdr:colOff>355935</xdr:colOff>
      <xdr:row>34</xdr:row>
      <xdr:rowOff>174645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694545</xdr:colOff>
      <xdr:row>16</xdr:row>
      <xdr:rowOff>168450</xdr:rowOff>
    </xdr:from>
    <xdr:to>
      <xdr:col>11</xdr:col>
      <xdr:colOff>571260</xdr:colOff>
      <xdr:row>34</xdr:row>
      <xdr:rowOff>172980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240981</xdr:colOff>
      <xdr:row>43</xdr:row>
      <xdr:rowOff>122871</xdr:rowOff>
    </xdr:from>
    <xdr:to>
      <xdr:col>5</xdr:col>
      <xdr:colOff>354329</xdr:colOff>
      <xdr:row>61</xdr:row>
      <xdr:rowOff>66674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D51746A-9172-4903-432D-591F1EE81D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296227</xdr:colOff>
      <xdr:row>63</xdr:row>
      <xdr:rowOff>122871</xdr:rowOff>
    </xdr:from>
    <xdr:to>
      <xdr:col>7</xdr:col>
      <xdr:colOff>962025</xdr:colOff>
      <xdr:row>79</xdr:row>
      <xdr:rowOff>180974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F27BA3E-8291-CBDE-4E21-C3B431C83E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284796</xdr:colOff>
      <xdr:row>82</xdr:row>
      <xdr:rowOff>96202</xdr:rowOff>
    </xdr:from>
    <xdr:to>
      <xdr:col>7</xdr:col>
      <xdr:colOff>971549</xdr:colOff>
      <xdr:row>100</xdr:row>
      <xdr:rowOff>133350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337FD8E-281B-ACBC-D2FD-7F564BF203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Date="0" createdVersion="3" recordCount="120" xr:uid="{00000000-000A-0000-FFFF-FFFF01000000}">
  <cacheSource type="worksheet">
    <worksheetSource ref="A1:O121" sheet="Combo"/>
  </cacheSource>
  <cacheFields count="17">
    <cacheField name="Date" numFmtId="0">
      <sharedItems containsSemiMixedTypes="0" containsNonDate="0" containsDate="1" containsString="0" minDate="2023-01-01T00:00:00" maxDate="2023-04-30T00:00:00" count="120"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</sharedItems>
      <fieldGroup par="16"/>
    </cacheField>
    <cacheField name="Facebook Page reach" numFmtId="0">
      <sharedItems containsSemiMixedTypes="0" containsString="0" containsNumber="1" containsInteger="1" minValue="24" maxValue="14462" count="120">
        <n v="24"/>
        <n v="25"/>
        <n v="40"/>
        <n v="1345"/>
        <n v="1497"/>
        <n v="1554"/>
        <n v="1562"/>
        <n v="1643"/>
        <n v="1721"/>
        <n v="1723"/>
        <n v="1760"/>
        <n v="1787"/>
        <n v="1818"/>
        <n v="1880"/>
        <n v="1993"/>
        <n v="2066"/>
        <n v="2127"/>
        <n v="2138"/>
        <n v="3058"/>
        <n v="3164"/>
        <n v="3245"/>
        <n v="3255"/>
        <n v="3666"/>
        <n v="3982"/>
        <n v="4053"/>
        <n v="4188"/>
        <n v="4626"/>
        <n v="4816"/>
        <n v="4957"/>
        <n v="5049"/>
        <n v="5188"/>
        <n v="5238"/>
        <n v="5240"/>
        <n v="5272"/>
        <n v="5545"/>
        <n v="5562"/>
        <n v="5768"/>
        <n v="5882"/>
        <n v="5922"/>
        <n v="6006"/>
        <n v="6074"/>
        <n v="6158"/>
        <n v="6165"/>
        <n v="6199"/>
        <n v="6203"/>
        <n v="6223"/>
        <n v="6265"/>
        <n v="6328"/>
        <n v="6366"/>
        <n v="6386"/>
        <n v="6525"/>
        <n v="6534"/>
        <n v="6691"/>
        <n v="6772"/>
        <n v="6794"/>
        <n v="6839"/>
        <n v="6935"/>
        <n v="6979"/>
        <n v="7128"/>
        <n v="7157"/>
        <n v="7194"/>
        <n v="7299"/>
        <n v="7356"/>
        <n v="7369"/>
        <n v="7396"/>
        <n v="7455"/>
        <n v="7673"/>
        <n v="7695"/>
        <n v="7705"/>
        <n v="7720"/>
        <n v="7751"/>
        <n v="7804"/>
        <n v="8092"/>
        <n v="8256"/>
        <n v="8337"/>
        <n v="8351"/>
        <n v="8552"/>
        <n v="8576"/>
        <n v="8584"/>
        <n v="8599"/>
        <n v="8699"/>
        <n v="8785"/>
        <n v="8799"/>
        <n v="8842"/>
        <n v="8886"/>
        <n v="8970"/>
        <n v="9234"/>
        <n v="9331"/>
        <n v="9352"/>
        <n v="9423"/>
        <n v="9474"/>
        <n v="9622"/>
        <n v="9686"/>
        <n v="9895"/>
        <n v="9953"/>
        <n v="10024"/>
        <n v="10031"/>
        <n v="10137"/>
        <n v="10156"/>
        <n v="10248"/>
        <n v="10339"/>
        <n v="10983"/>
        <n v="11106"/>
        <n v="11204"/>
        <n v="11381"/>
        <n v="11712"/>
        <n v="11787"/>
        <n v="11916"/>
        <n v="11943"/>
        <n v="11963"/>
        <n v="12476"/>
        <n v="12502"/>
        <n v="12528"/>
        <n v="12930"/>
        <n v="12940"/>
        <n v="13276"/>
        <n v="14145"/>
        <n v="14290"/>
        <n v="14441"/>
        <n v="14462"/>
      </sharedItems>
    </cacheField>
    <cacheField name="Column C" numFmtId="0">
      <sharedItems containsString="0" containsBlank="1" count="1">
        <m/>
      </sharedItems>
    </cacheField>
    <cacheField name="Date2" numFmtId="0">
      <sharedItems containsSemiMixedTypes="0" containsNonDate="0" containsDate="1" containsString="0" minDate="2023-01-01T00:00:00" maxDate="2023-04-30T00:00:00" count="120"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</sharedItems>
    </cacheField>
    <cacheField name="Instagram reach" numFmtId="0">
      <sharedItems containsSemiMixedTypes="0" containsString="0" containsNumber="1" containsInteger="1" minValue="4" maxValue="4032" count="115">
        <n v="4"/>
        <n v="8"/>
        <n v="17"/>
        <n v="137"/>
        <n v="153"/>
        <n v="155"/>
        <n v="158"/>
        <n v="165"/>
        <n v="186"/>
        <n v="214"/>
        <n v="261"/>
        <n v="273"/>
        <n v="435"/>
        <n v="450"/>
        <n v="476"/>
        <n v="509"/>
        <n v="544"/>
        <n v="604"/>
        <n v="678"/>
        <n v="689"/>
        <n v="690"/>
        <n v="737"/>
        <n v="760"/>
        <n v="770"/>
        <n v="801"/>
        <n v="810"/>
        <n v="813"/>
        <n v="837"/>
        <n v="866"/>
        <n v="870"/>
        <n v="873"/>
        <n v="890"/>
        <n v="892"/>
        <n v="914"/>
        <n v="926"/>
        <n v="950"/>
        <n v="971"/>
        <n v="1043"/>
        <n v="1054"/>
        <n v="1058"/>
        <n v="1073"/>
        <n v="1074"/>
        <n v="1121"/>
        <n v="1147"/>
        <n v="1152"/>
        <n v="1154"/>
        <n v="1164"/>
        <n v="1280"/>
        <n v="1288"/>
        <n v="1299"/>
        <n v="1307"/>
        <n v="1314"/>
        <n v="1322"/>
        <n v="1400"/>
        <n v="1448"/>
        <n v="1514"/>
        <n v="1537"/>
        <n v="1539"/>
        <n v="1597"/>
        <n v="1617"/>
        <n v="1637"/>
        <n v="1646"/>
        <n v="1655"/>
        <n v="1698"/>
        <n v="1772"/>
        <n v="1782"/>
        <n v="1823"/>
        <n v="1828"/>
        <n v="1837"/>
        <n v="1850"/>
        <n v="1852"/>
        <n v="1885"/>
        <n v="1892"/>
        <n v="1946"/>
        <n v="1974"/>
        <n v="1977"/>
        <n v="2057"/>
        <n v="2068"/>
        <n v="2085"/>
        <n v="2130"/>
        <n v="2152"/>
        <n v="2199"/>
        <n v="2207"/>
        <n v="2216"/>
        <n v="2237"/>
        <n v="2243"/>
        <n v="2249"/>
        <n v="2264"/>
        <n v="2291"/>
        <n v="2313"/>
        <n v="2332"/>
        <n v="2363"/>
        <n v="2369"/>
        <n v="2392"/>
        <n v="2414"/>
        <n v="2424"/>
        <n v="2634"/>
        <n v="2637"/>
        <n v="2667"/>
        <n v="2685"/>
        <n v="2700"/>
        <n v="2711"/>
        <n v="2761"/>
        <n v="2800"/>
        <n v="2859"/>
        <n v="2925"/>
        <n v="3067"/>
        <n v="3081"/>
        <n v="3150"/>
        <n v="3230"/>
        <n v="3245"/>
        <n v="3386"/>
        <n v="3488"/>
        <n v="3527"/>
        <n v="4032"/>
      </sharedItems>
    </cacheField>
    <cacheField name="Column F" numFmtId="0">
      <sharedItems containsString="0" containsBlank="1" count="1">
        <m/>
      </sharedItems>
    </cacheField>
    <cacheField name="Date3" numFmtId="0">
      <sharedItems containsSemiMixedTypes="0" containsNonDate="0" containsDate="1" containsString="0" minDate="2023-01-01T00:00:00" maxDate="2023-04-30T00:00:00" count="120"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</sharedItems>
    </cacheField>
    <cacheField name="Facebook Page likes" numFmtId="0">
      <sharedItems containsSemiMixedTypes="0" containsString="0" containsNumber="1" containsInteger="1" minValue="2" maxValue="171" count="51"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6"/>
        <n v="39"/>
        <n v="41"/>
        <n v="42"/>
        <n v="44"/>
        <n v="45"/>
        <n v="46"/>
        <n v="48"/>
        <n v="50"/>
        <n v="51"/>
        <n v="54"/>
        <n v="55"/>
        <n v="60"/>
        <n v="68"/>
        <n v="69"/>
        <n v="125"/>
        <n v="147"/>
        <n v="171"/>
      </sharedItems>
    </cacheField>
    <cacheField name="Column I" numFmtId="0">
      <sharedItems containsString="0" containsBlank="1" count="1">
        <m/>
      </sharedItems>
    </cacheField>
    <cacheField name="Date " numFmtId="0">
      <sharedItems containsSemiMixedTypes="0" containsNonDate="0" containsDate="1" containsString="0" minDate="2023-01-01T00:00:00" maxDate="2023-04-30T00:00:00" count="120"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</sharedItems>
    </cacheField>
    <cacheField name="Instagram followers" numFmtId="0">
      <sharedItems containsSemiMixedTypes="0" containsString="0" containsNumber="1" containsInteger="1" minValue="3" maxValue="98" count="48">
        <n v="3"/>
        <n v="4"/>
        <n v="5"/>
        <n v="6"/>
        <n v="7"/>
        <n v="8"/>
        <n v="9"/>
        <n v="10"/>
        <n v="11"/>
        <n v="12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1"/>
        <n v="32"/>
        <n v="33"/>
        <n v="34"/>
        <n v="35"/>
        <n v="36"/>
        <n v="37"/>
        <n v="38"/>
        <n v="39"/>
        <n v="40"/>
        <n v="42"/>
        <n v="44"/>
        <n v="45"/>
        <n v="48"/>
        <n v="49"/>
        <n v="51"/>
        <n v="53"/>
        <n v="54"/>
        <n v="55"/>
        <n v="65"/>
        <n v="69"/>
        <n v="98"/>
      </sharedItems>
    </cacheField>
    <cacheField name="Column L" numFmtId="0">
      <sharedItems containsString="0" containsBlank="1" count="1">
        <m/>
      </sharedItems>
    </cacheField>
    <cacheField name="Date 2" numFmtId="0">
      <sharedItems containsSemiMixedTypes="0" containsNonDate="0" containsDate="1" containsString="0" minDate="2023-01-01T00:00:00" maxDate="2023-04-30T00:00:00" count="120"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</sharedItems>
    </cacheField>
    <cacheField name="AD_ACCOUNT,IMPRESSION,UNIQUE_USERS" numFmtId="0">
      <sharedItems containsSemiMixedTypes="0" containsString="0" containsNumber="1" containsInteger="1" minValue="0" maxValue="14736" count="119">
        <n v="0"/>
        <n v="479"/>
        <n v="942"/>
        <n v="1455"/>
        <n v="1471"/>
        <n v="1500"/>
        <n v="1518"/>
        <n v="1531"/>
        <n v="1695"/>
        <n v="1696"/>
        <n v="1714"/>
        <n v="1781"/>
        <n v="2052"/>
        <n v="2102"/>
        <n v="2117"/>
        <n v="2296"/>
        <n v="2316"/>
        <n v="2435"/>
        <n v="2448"/>
        <n v="2870"/>
        <n v="3593"/>
        <n v="3866"/>
        <n v="3998"/>
        <n v="4086"/>
        <n v="4388"/>
        <n v="4394"/>
        <n v="4471"/>
        <n v="4851"/>
        <n v="4867"/>
        <n v="4872"/>
        <n v="5012"/>
        <n v="5152"/>
        <n v="5188"/>
        <n v="5270"/>
        <n v="5312"/>
        <n v="5326"/>
        <n v="5466"/>
        <n v="5534"/>
        <n v="5612"/>
        <n v="5684"/>
        <n v="5869"/>
        <n v="5978"/>
        <n v="5994"/>
        <n v="6092"/>
        <n v="6172"/>
        <n v="6206"/>
        <n v="6310"/>
        <n v="6318"/>
        <n v="6326"/>
        <n v="6436"/>
        <n v="6574"/>
        <n v="6629"/>
        <n v="6646"/>
        <n v="6654"/>
        <n v="6772"/>
        <n v="6824"/>
        <n v="7023"/>
        <n v="7116"/>
        <n v="7118"/>
        <n v="7289"/>
        <n v="7304"/>
        <n v="7400"/>
        <n v="7404"/>
        <n v="7406"/>
        <n v="7418"/>
        <n v="7464"/>
        <n v="7670"/>
        <n v="7690"/>
        <n v="7800"/>
        <n v="7840"/>
        <n v="7844"/>
        <n v="7856"/>
        <n v="7996"/>
        <n v="8074"/>
        <n v="8122"/>
        <n v="8126"/>
        <n v="8132"/>
        <n v="8150"/>
        <n v="8260"/>
        <n v="8396"/>
        <n v="8528"/>
        <n v="8572"/>
        <n v="8637"/>
        <n v="8848"/>
        <n v="9030"/>
        <n v="9110"/>
        <n v="9378"/>
        <n v="9434"/>
        <n v="9482"/>
        <n v="9541"/>
        <n v="9658"/>
        <n v="9680"/>
        <n v="9836"/>
        <n v="10008"/>
        <n v="10088"/>
        <n v="10227"/>
        <n v="10320"/>
        <n v="10328"/>
        <n v="10358"/>
        <n v="10872"/>
        <n v="10984"/>
        <n v="11036"/>
        <n v="11212"/>
        <n v="11537"/>
        <n v="11720"/>
        <n v="11848"/>
        <n v="12056"/>
        <n v="12124"/>
        <n v="12276"/>
        <n v="12284"/>
        <n v="12604"/>
        <n v="12852"/>
        <n v="12973"/>
        <n v="13116"/>
        <n v="13168"/>
        <n v="13760"/>
        <n v="13944"/>
        <n v="14244"/>
        <n v="14736"/>
      </sharedItems>
    </cacheField>
    <cacheField name="AD_ACCOUNT,SPEND,COUNT" numFmtId="0">
      <sharedItems containsSemiMixedTypes="0" containsString="0" containsNumber="1" minValue="0" maxValue="122.55" count="116">
        <n v="0"/>
        <n v="0.32"/>
        <n v="1.95"/>
        <n v="1.97"/>
        <n v="2.0099999999999998"/>
        <n v="2.04"/>
        <n v="2.0499999999999998"/>
        <n v="2.34"/>
        <n v="5.09"/>
        <n v="7.84"/>
        <n v="9.66"/>
        <n v="9.7899999999999991"/>
        <n v="10"/>
        <n v="10.63"/>
        <n v="11.22"/>
        <n v="11.93"/>
        <n v="16.27"/>
        <n v="17.84"/>
        <n v="20.34"/>
        <n v="21.07"/>
        <n v="21.27"/>
        <n v="21.44"/>
        <n v="21.65"/>
        <n v="21.93"/>
        <n v="22.1"/>
        <n v="22.86"/>
        <n v="23.09"/>
        <n v="23.25"/>
        <n v="23.31"/>
        <n v="23.58"/>
        <n v="23.68"/>
        <n v="24.17"/>
        <n v="25.69"/>
        <n v="26.32"/>
        <n v="26.37"/>
        <n v="26.83"/>
        <n v="26.84"/>
        <n v="27.6"/>
        <n v="29.77"/>
        <n v="32.119999999999997"/>
        <n v="32.729999999999997"/>
        <n v="32.99"/>
        <n v="34.21"/>
        <n v="34.299999999999997"/>
        <n v="34.57"/>
        <n v="35.03"/>
        <n v="36.35"/>
        <n v="36.520000000000003"/>
        <n v="37.97"/>
        <n v="38.549999999999997"/>
        <n v="38.97"/>
        <n v="39.28"/>
        <n v="40.15"/>
        <n v="40.65"/>
        <n v="41.29"/>
        <n v="42.42"/>
        <n v="42.64"/>
        <n v="42.86"/>
        <n v="43.11"/>
        <n v="44.82"/>
        <n v="44.84"/>
        <n v="44.93"/>
        <n v="45.16"/>
        <n v="45.44"/>
        <n v="45.66"/>
        <n v="45.91"/>
        <n v="45.93"/>
        <n v="46"/>
        <n v="46.07"/>
        <n v="46.08"/>
        <n v="46.13"/>
        <n v="46.17"/>
        <n v="46.18"/>
        <n v="46.32"/>
        <n v="46.59"/>
        <n v="46.74"/>
        <n v="47.34"/>
        <n v="47.79"/>
        <n v="48.6"/>
        <n v="48.88"/>
        <n v="50.53"/>
        <n v="50.81"/>
        <n v="53.87"/>
        <n v="53.9"/>
        <n v="54.08"/>
        <n v="54.89"/>
        <n v="55.21"/>
        <n v="55.82"/>
        <n v="58.01"/>
        <n v="58.28"/>
        <n v="58.46"/>
        <n v="58.81"/>
        <n v="59.94"/>
        <n v="60.15"/>
        <n v="60.3"/>
        <n v="61.55"/>
        <n v="61.76"/>
        <n v="68.14"/>
        <n v="68.48"/>
        <n v="69.05"/>
        <n v="69.400000000000006"/>
        <n v="70.37"/>
        <n v="72.099999999999994"/>
        <n v="72.22"/>
        <n v="72.55"/>
        <n v="72.89"/>
        <n v="73.58"/>
        <n v="74.5"/>
        <n v="75.819999999999993"/>
        <n v="82.22"/>
        <n v="94.27"/>
        <n v="98.11"/>
        <n v="104.95"/>
        <n v="112.54"/>
        <n v="121.27"/>
        <n v="122.55"/>
      </sharedItems>
    </cacheField>
    <cacheField name="Days (Date)" numFmtId="0" databaseField="0">
      <fieldGroup base="0">
        <rangePr groupBy="days" startDate="2023-01-01T00:00:00" endDate="2023-04-30T00:00:00"/>
        <groupItems count="368">
          <s v="&lt;1/1/2023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4/30/2023"/>
        </groupItems>
      </fieldGroup>
    </cacheField>
    <cacheField name="Months (Date)" numFmtId="0" databaseField="0">
      <fieldGroup base="0">
        <rangePr groupBy="months" startDate="2023-01-01T00:00:00" endDate="2023-04-30T00:00:00"/>
        <groupItems count="14">
          <s v="&lt;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4/30/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120">
  <r>
    <x v="0"/>
    <x v="14"/>
    <x v="0"/>
    <x v="0"/>
    <x v="51"/>
    <x v="0"/>
    <x v="0"/>
    <x v="0"/>
    <x v="0"/>
    <x v="0"/>
    <x v="5"/>
    <x v="0"/>
    <x v="0"/>
    <x v="12"/>
    <x v="14"/>
  </r>
  <r>
    <x v="1"/>
    <x v="4"/>
    <x v="0"/>
    <x v="1"/>
    <x v="33"/>
    <x v="0"/>
    <x v="1"/>
    <x v="3"/>
    <x v="0"/>
    <x v="1"/>
    <x v="9"/>
    <x v="0"/>
    <x v="1"/>
    <x v="7"/>
    <x v="13"/>
  </r>
  <r>
    <x v="2"/>
    <x v="8"/>
    <x v="0"/>
    <x v="2"/>
    <x v="29"/>
    <x v="0"/>
    <x v="2"/>
    <x v="1"/>
    <x v="0"/>
    <x v="2"/>
    <x v="9"/>
    <x v="0"/>
    <x v="2"/>
    <x v="9"/>
    <x v="11"/>
  </r>
  <r>
    <x v="3"/>
    <x v="18"/>
    <x v="0"/>
    <x v="3"/>
    <x v="45"/>
    <x v="0"/>
    <x v="3"/>
    <x v="12"/>
    <x v="0"/>
    <x v="3"/>
    <x v="7"/>
    <x v="0"/>
    <x v="3"/>
    <x v="18"/>
    <x v="8"/>
  </r>
  <r>
    <x v="4"/>
    <x v="37"/>
    <x v="0"/>
    <x v="4"/>
    <x v="91"/>
    <x v="0"/>
    <x v="4"/>
    <x v="25"/>
    <x v="0"/>
    <x v="4"/>
    <x v="20"/>
    <x v="0"/>
    <x v="4"/>
    <x v="38"/>
    <x v="17"/>
  </r>
  <r>
    <x v="5"/>
    <x v="44"/>
    <x v="0"/>
    <x v="5"/>
    <x v="67"/>
    <x v="0"/>
    <x v="5"/>
    <x v="36"/>
    <x v="0"/>
    <x v="5"/>
    <x v="20"/>
    <x v="0"/>
    <x v="5"/>
    <x v="44"/>
    <x v="19"/>
  </r>
  <r>
    <x v="6"/>
    <x v="41"/>
    <x v="0"/>
    <x v="6"/>
    <x v="86"/>
    <x v="0"/>
    <x v="6"/>
    <x v="28"/>
    <x v="0"/>
    <x v="6"/>
    <x v="20"/>
    <x v="0"/>
    <x v="6"/>
    <x v="40"/>
    <x v="22"/>
  </r>
  <r>
    <x v="7"/>
    <x v="81"/>
    <x v="0"/>
    <x v="7"/>
    <x v="69"/>
    <x v="0"/>
    <x v="7"/>
    <x v="39"/>
    <x v="0"/>
    <x v="7"/>
    <x v="17"/>
    <x v="0"/>
    <x v="7"/>
    <x v="66"/>
    <x v="38"/>
  </r>
  <r>
    <x v="8"/>
    <x v="88"/>
    <x v="0"/>
    <x v="8"/>
    <x v="94"/>
    <x v="0"/>
    <x v="8"/>
    <x v="32"/>
    <x v="0"/>
    <x v="8"/>
    <x v="30"/>
    <x v="0"/>
    <x v="8"/>
    <x v="87"/>
    <x v="46"/>
  </r>
  <r>
    <x v="9"/>
    <x v="92"/>
    <x v="0"/>
    <x v="9"/>
    <x v="103"/>
    <x v="0"/>
    <x v="9"/>
    <x v="37"/>
    <x v="0"/>
    <x v="9"/>
    <x v="21"/>
    <x v="0"/>
    <x v="9"/>
    <x v="97"/>
    <x v="79"/>
  </r>
  <r>
    <x v="10"/>
    <x v="78"/>
    <x v="0"/>
    <x v="10"/>
    <x v="65"/>
    <x v="0"/>
    <x v="10"/>
    <x v="37"/>
    <x v="0"/>
    <x v="10"/>
    <x v="18"/>
    <x v="0"/>
    <x v="10"/>
    <x v="78"/>
    <x v="42"/>
  </r>
  <r>
    <x v="11"/>
    <x v="79"/>
    <x v="0"/>
    <x v="11"/>
    <x v="45"/>
    <x v="0"/>
    <x v="11"/>
    <x v="43"/>
    <x v="0"/>
    <x v="11"/>
    <x v="25"/>
    <x v="0"/>
    <x v="11"/>
    <x v="84"/>
    <x v="37"/>
  </r>
  <r>
    <x v="12"/>
    <x v="39"/>
    <x v="0"/>
    <x v="12"/>
    <x v="36"/>
    <x v="0"/>
    <x v="12"/>
    <x v="21"/>
    <x v="0"/>
    <x v="12"/>
    <x v="12"/>
    <x v="0"/>
    <x v="12"/>
    <x v="41"/>
    <x v="20"/>
  </r>
  <r>
    <x v="13"/>
    <x v="27"/>
    <x v="0"/>
    <x v="13"/>
    <x v="30"/>
    <x v="0"/>
    <x v="13"/>
    <x v="12"/>
    <x v="0"/>
    <x v="13"/>
    <x v="10"/>
    <x v="0"/>
    <x v="13"/>
    <x v="30"/>
    <x v="18"/>
  </r>
  <r>
    <x v="14"/>
    <x v="56"/>
    <x v="0"/>
    <x v="14"/>
    <x v="92"/>
    <x v="0"/>
    <x v="14"/>
    <x v="35"/>
    <x v="0"/>
    <x v="14"/>
    <x v="36"/>
    <x v="0"/>
    <x v="14"/>
    <x v="50"/>
    <x v="47"/>
  </r>
  <r>
    <x v="15"/>
    <x v="72"/>
    <x v="0"/>
    <x v="15"/>
    <x v="113"/>
    <x v="0"/>
    <x v="15"/>
    <x v="38"/>
    <x v="0"/>
    <x v="15"/>
    <x v="40"/>
    <x v="0"/>
    <x v="15"/>
    <x v="73"/>
    <x v="61"/>
  </r>
  <r>
    <x v="16"/>
    <x v="58"/>
    <x v="0"/>
    <x v="16"/>
    <x v="88"/>
    <x v="0"/>
    <x v="16"/>
    <x v="15"/>
    <x v="0"/>
    <x v="16"/>
    <x v="28"/>
    <x v="0"/>
    <x v="16"/>
    <x v="64"/>
    <x v="69"/>
  </r>
  <r>
    <x v="17"/>
    <x v="62"/>
    <x v="0"/>
    <x v="17"/>
    <x v="77"/>
    <x v="0"/>
    <x v="17"/>
    <x v="49"/>
    <x v="0"/>
    <x v="17"/>
    <x v="29"/>
    <x v="0"/>
    <x v="17"/>
    <x v="62"/>
    <x v="68"/>
  </r>
  <r>
    <x v="18"/>
    <x v="53"/>
    <x v="0"/>
    <x v="18"/>
    <x v="59"/>
    <x v="0"/>
    <x v="18"/>
    <x v="46"/>
    <x v="0"/>
    <x v="18"/>
    <x v="13"/>
    <x v="0"/>
    <x v="18"/>
    <x v="52"/>
    <x v="59"/>
  </r>
  <r>
    <x v="19"/>
    <x v="60"/>
    <x v="0"/>
    <x v="19"/>
    <x v="62"/>
    <x v="0"/>
    <x v="19"/>
    <x v="34"/>
    <x v="0"/>
    <x v="19"/>
    <x v="32"/>
    <x v="0"/>
    <x v="19"/>
    <x v="58"/>
    <x v="74"/>
  </r>
  <r>
    <x v="20"/>
    <x v="74"/>
    <x v="0"/>
    <x v="20"/>
    <x v="55"/>
    <x v="0"/>
    <x v="20"/>
    <x v="42"/>
    <x v="0"/>
    <x v="20"/>
    <x v="23"/>
    <x v="0"/>
    <x v="20"/>
    <x v="67"/>
    <x v="75"/>
  </r>
  <r>
    <x v="21"/>
    <x v="67"/>
    <x v="0"/>
    <x v="21"/>
    <x v="53"/>
    <x v="0"/>
    <x v="21"/>
    <x v="24"/>
    <x v="0"/>
    <x v="21"/>
    <x v="29"/>
    <x v="0"/>
    <x v="21"/>
    <x v="75"/>
    <x v="64"/>
  </r>
  <r>
    <x v="22"/>
    <x v="87"/>
    <x v="0"/>
    <x v="22"/>
    <x v="76"/>
    <x v="0"/>
    <x v="22"/>
    <x v="28"/>
    <x v="0"/>
    <x v="22"/>
    <x v="35"/>
    <x v="0"/>
    <x v="22"/>
    <x v="86"/>
    <x v="67"/>
  </r>
  <r>
    <x v="23"/>
    <x v="66"/>
    <x v="0"/>
    <x v="23"/>
    <x v="71"/>
    <x v="0"/>
    <x v="23"/>
    <x v="30"/>
    <x v="0"/>
    <x v="23"/>
    <x v="29"/>
    <x v="0"/>
    <x v="23"/>
    <x v="72"/>
    <x v="58"/>
  </r>
  <r>
    <x v="24"/>
    <x v="73"/>
    <x v="0"/>
    <x v="24"/>
    <x v="89"/>
    <x v="0"/>
    <x v="24"/>
    <x v="16"/>
    <x v="0"/>
    <x v="24"/>
    <x v="30"/>
    <x v="0"/>
    <x v="24"/>
    <x v="71"/>
    <x v="72"/>
  </r>
  <r>
    <x v="25"/>
    <x v="77"/>
    <x v="0"/>
    <x v="25"/>
    <x v="105"/>
    <x v="0"/>
    <x v="25"/>
    <x v="37"/>
    <x v="0"/>
    <x v="25"/>
    <x v="44"/>
    <x v="0"/>
    <x v="25"/>
    <x v="82"/>
    <x v="66"/>
  </r>
  <r>
    <x v="26"/>
    <x v="90"/>
    <x v="0"/>
    <x v="26"/>
    <x v="79"/>
    <x v="0"/>
    <x v="26"/>
    <x v="50"/>
    <x v="0"/>
    <x v="26"/>
    <x v="47"/>
    <x v="0"/>
    <x v="26"/>
    <x v="88"/>
    <x v="62"/>
  </r>
  <r>
    <x v="27"/>
    <x v="64"/>
    <x v="0"/>
    <x v="27"/>
    <x v="83"/>
    <x v="0"/>
    <x v="27"/>
    <x v="28"/>
    <x v="0"/>
    <x v="27"/>
    <x v="30"/>
    <x v="0"/>
    <x v="27"/>
    <x v="68"/>
    <x v="60"/>
  </r>
  <r>
    <x v="28"/>
    <x v="43"/>
    <x v="0"/>
    <x v="28"/>
    <x v="81"/>
    <x v="0"/>
    <x v="28"/>
    <x v="19"/>
    <x v="0"/>
    <x v="28"/>
    <x v="35"/>
    <x v="0"/>
    <x v="28"/>
    <x v="37"/>
    <x v="27"/>
  </r>
  <r>
    <x v="29"/>
    <x v="46"/>
    <x v="0"/>
    <x v="29"/>
    <x v="75"/>
    <x v="0"/>
    <x v="29"/>
    <x v="30"/>
    <x v="0"/>
    <x v="29"/>
    <x v="24"/>
    <x v="0"/>
    <x v="29"/>
    <x v="49"/>
    <x v="25"/>
  </r>
  <r>
    <x v="30"/>
    <x v="40"/>
    <x v="0"/>
    <x v="30"/>
    <x v="63"/>
    <x v="0"/>
    <x v="30"/>
    <x v="23"/>
    <x v="0"/>
    <x v="30"/>
    <x v="30"/>
    <x v="0"/>
    <x v="30"/>
    <x v="34"/>
    <x v="24"/>
  </r>
  <r>
    <x v="31"/>
    <x v="61"/>
    <x v="0"/>
    <x v="31"/>
    <x v="66"/>
    <x v="0"/>
    <x v="31"/>
    <x v="44"/>
    <x v="0"/>
    <x v="31"/>
    <x v="24"/>
    <x v="0"/>
    <x v="31"/>
    <x v="56"/>
    <x v="81"/>
  </r>
  <r>
    <x v="32"/>
    <x v="48"/>
    <x v="0"/>
    <x v="32"/>
    <x v="104"/>
    <x v="0"/>
    <x v="32"/>
    <x v="47"/>
    <x v="0"/>
    <x v="32"/>
    <x v="44"/>
    <x v="0"/>
    <x v="32"/>
    <x v="47"/>
    <x v="78"/>
  </r>
  <r>
    <x v="33"/>
    <x v="65"/>
    <x v="0"/>
    <x v="33"/>
    <x v="72"/>
    <x v="0"/>
    <x v="33"/>
    <x v="27"/>
    <x v="0"/>
    <x v="33"/>
    <x v="13"/>
    <x v="0"/>
    <x v="33"/>
    <x v="60"/>
    <x v="87"/>
  </r>
  <r>
    <x v="34"/>
    <x v="89"/>
    <x v="0"/>
    <x v="34"/>
    <x v="87"/>
    <x v="0"/>
    <x v="34"/>
    <x v="17"/>
    <x v="0"/>
    <x v="34"/>
    <x v="16"/>
    <x v="0"/>
    <x v="34"/>
    <x v="83"/>
    <x v="108"/>
  </r>
  <r>
    <x v="35"/>
    <x v="57"/>
    <x v="0"/>
    <x v="35"/>
    <x v="50"/>
    <x v="0"/>
    <x v="35"/>
    <x v="33"/>
    <x v="0"/>
    <x v="35"/>
    <x v="18"/>
    <x v="0"/>
    <x v="35"/>
    <x v="77"/>
    <x v="98"/>
  </r>
  <r>
    <x v="36"/>
    <x v="49"/>
    <x v="0"/>
    <x v="36"/>
    <x v="40"/>
    <x v="0"/>
    <x v="36"/>
    <x v="26"/>
    <x v="0"/>
    <x v="36"/>
    <x v="19"/>
    <x v="0"/>
    <x v="36"/>
    <x v="46"/>
    <x v="29"/>
  </r>
  <r>
    <x v="37"/>
    <x v="50"/>
    <x v="0"/>
    <x v="37"/>
    <x v="49"/>
    <x v="0"/>
    <x v="37"/>
    <x v="15"/>
    <x v="0"/>
    <x v="37"/>
    <x v="17"/>
    <x v="0"/>
    <x v="37"/>
    <x v="45"/>
    <x v="23"/>
  </r>
  <r>
    <x v="38"/>
    <x v="47"/>
    <x v="0"/>
    <x v="38"/>
    <x v="41"/>
    <x v="0"/>
    <x v="38"/>
    <x v="24"/>
    <x v="0"/>
    <x v="38"/>
    <x v="15"/>
    <x v="0"/>
    <x v="38"/>
    <x v="43"/>
    <x v="30"/>
  </r>
  <r>
    <x v="39"/>
    <x v="55"/>
    <x v="0"/>
    <x v="39"/>
    <x v="34"/>
    <x v="0"/>
    <x v="39"/>
    <x v="31"/>
    <x v="0"/>
    <x v="39"/>
    <x v="12"/>
    <x v="0"/>
    <x v="39"/>
    <x v="51"/>
    <x v="28"/>
  </r>
  <r>
    <x v="40"/>
    <x v="59"/>
    <x v="0"/>
    <x v="40"/>
    <x v="31"/>
    <x v="0"/>
    <x v="40"/>
    <x v="14"/>
    <x v="0"/>
    <x v="40"/>
    <x v="13"/>
    <x v="0"/>
    <x v="40"/>
    <x v="57"/>
    <x v="26"/>
  </r>
  <r>
    <x v="41"/>
    <x v="86"/>
    <x v="0"/>
    <x v="41"/>
    <x v="32"/>
    <x v="0"/>
    <x v="41"/>
    <x v="27"/>
    <x v="0"/>
    <x v="41"/>
    <x v="27"/>
    <x v="0"/>
    <x v="41"/>
    <x v="76"/>
    <x v="39"/>
  </r>
  <r>
    <x v="42"/>
    <x v="103"/>
    <x v="0"/>
    <x v="42"/>
    <x v="42"/>
    <x v="0"/>
    <x v="42"/>
    <x v="32"/>
    <x v="0"/>
    <x v="42"/>
    <x v="14"/>
    <x v="0"/>
    <x v="42"/>
    <x v="102"/>
    <x v="112"/>
  </r>
  <r>
    <x v="43"/>
    <x v="93"/>
    <x v="0"/>
    <x v="43"/>
    <x v="52"/>
    <x v="0"/>
    <x v="43"/>
    <x v="40"/>
    <x v="0"/>
    <x v="43"/>
    <x v="16"/>
    <x v="0"/>
    <x v="43"/>
    <x v="99"/>
    <x v="105"/>
  </r>
  <r>
    <x v="44"/>
    <x v="100"/>
    <x v="0"/>
    <x v="44"/>
    <x v="54"/>
    <x v="0"/>
    <x v="44"/>
    <x v="31"/>
    <x v="0"/>
    <x v="44"/>
    <x v="20"/>
    <x v="0"/>
    <x v="44"/>
    <x v="93"/>
    <x v="52"/>
  </r>
  <r>
    <x v="45"/>
    <x v="94"/>
    <x v="0"/>
    <x v="45"/>
    <x v="78"/>
    <x v="0"/>
    <x v="45"/>
    <x v="45"/>
    <x v="0"/>
    <x v="45"/>
    <x v="39"/>
    <x v="0"/>
    <x v="45"/>
    <x v="85"/>
    <x v="33"/>
  </r>
  <r>
    <x v="46"/>
    <x v="91"/>
    <x v="0"/>
    <x v="46"/>
    <x v="58"/>
    <x v="0"/>
    <x v="46"/>
    <x v="36"/>
    <x v="0"/>
    <x v="46"/>
    <x v="13"/>
    <x v="0"/>
    <x v="46"/>
    <x v="89"/>
    <x v="36"/>
  </r>
  <r>
    <x v="47"/>
    <x v="75"/>
    <x v="0"/>
    <x v="47"/>
    <x v="57"/>
    <x v="0"/>
    <x v="47"/>
    <x v="26"/>
    <x v="0"/>
    <x v="47"/>
    <x v="11"/>
    <x v="0"/>
    <x v="47"/>
    <x v="79"/>
    <x v="34"/>
  </r>
  <r>
    <x v="48"/>
    <x v="110"/>
    <x v="0"/>
    <x v="48"/>
    <x v="59"/>
    <x v="0"/>
    <x v="48"/>
    <x v="22"/>
    <x v="0"/>
    <x v="48"/>
    <x v="16"/>
    <x v="0"/>
    <x v="48"/>
    <x v="109"/>
    <x v="54"/>
  </r>
  <r>
    <x v="49"/>
    <x v="104"/>
    <x v="0"/>
    <x v="49"/>
    <x v="68"/>
    <x v="0"/>
    <x v="49"/>
    <x v="26"/>
    <x v="0"/>
    <x v="49"/>
    <x v="27"/>
    <x v="0"/>
    <x v="49"/>
    <x v="106"/>
    <x v="96"/>
  </r>
  <r>
    <x v="50"/>
    <x v="80"/>
    <x v="0"/>
    <x v="50"/>
    <x v="93"/>
    <x v="0"/>
    <x v="50"/>
    <x v="23"/>
    <x v="0"/>
    <x v="50"/>
    <x v="16"/>
    <x v="0"/>
    <x v="50"/>
    <x v="80"/>
    <x v="92"/>
  </r>
  <r>
    <x v="51"/>
    <x v="96"/>
    <x v="0"/>
    <x v="51"/>
    <x v="109"/>
    <x v="0"/>
    <x v="51"/>
    <x v="40"/>
    <x v="0"/>
    <x v="51"/>
    <x v="41"/>
    <x v="0"/>
    <x v="51"/>
    <x v="92"/>
    <x v="95"/>
  </r>
  <r>
    <x v="52"/>
    <x v="102"/>
    <x v="0"/>
    <x v="52"/>
    <x v="100"/>
    <x v="0"/>
    <x v="52"/>
    <x v="15"/>
    <x v="0"/>
    <x v="52"/>
    <x v="24"/>
    <x v="0"/>
    <x v="52"/>
    <x v="100"/>
    <x v="97"/>
  </r>
  <r>
    <x v="53"/>
    <x v="109"/>
    <x v="0"/>
    <x v="53"/>
    <x v="96"/>
    <x v="0"/>
    <x v="53"/>
    <x v="12"/>
    <x v="0"/>
    <x v="53"/>
    <x v="32"/>
    <x v="0"/>
    <x v="53"/>
    <x v="110"/>
    <x v="109"/>
  </r>
  <r>
    <x v="54"/>
    <x v="106"/>
    <x v="0"/>
    <x v="54"/>
    <x v="90"/>
    <x v="0"/>
    <x v="54"/>
    <x v="18"/>
    <x v="0"/>
    <x v="54"/>
    <x v="30"/>
    <x v="0"/>
    <x v="54"/>
    <x v="105"/>
    <x v="103"/>
  </r>
  <r>
    <x v="55"/>
    <x v="95"/>
    <x v="0"/>
    <x v="55"/>
    <x v="103"/>
    <x v="0"/>
    <x v="55"/>
    <x v="48"/>
    <x v="0"/>
    <x v="55"/>
    <x v="45"/>
    <x v="0"/>
    <x v="55"/>
    <x v="91"/>
    <x v="83"/>
  </r>
  <r>
    <x v="56"/>
    <x v="63"/>
    <x v="0"/>
    <x v="56"/>
    <x v="95"/>
    <x v="0"/>
    <x v="56"/>
    <x v="26"/>
    <x v="0"/>
    <x v="56"/>
    <x v="26"/>
    <x v="0"/>
    <x v="56"/>
    <x v="61"/>
    <x v="65"/>
  </r>
  <r>
    <x v="57"/>
    <x v="69"/>
    <x v="0"/>
    <x v="57"/>
    <x v="98"/>
    <x v="0"/>
    <x v="57"/>
    <x v="7"/>
    <x v="0"/>
    <x v="57"/>
    <x v="32"/>
    <x v="0"/>
    <x v="57"/>
    <x v="70"/>
    <x v="70"/>
  </r>
  <r>
    <x v="58"/>
    <x v="83"/>
    <x v="0"/>
    <x v="58"/>
    <x v="108"/>
    <x v="0"/>
    <x v="58"/>
    <x v="20"/>
    <x v="0"/>
    <x v="58"/>
    <x v="33"/>
    <x v="0"/>
    <x v="58"/>
    <x v="69"/>
    <x v="63"/>
  </r>
  <r>
    <x v="59"/>
    <x v="97"/>
    <x v="0"/>
    <x v="59"/>
    <x v="102"/>
    <x v="0"/>
    <x v="59"/>
    <x v="27"/>
    <x v="0"/>
    <x v="59"/>
    <x v="43"/>
    <x v="0"/>
    <x v="59"/>
    <x v="96"/>
    <x v="76"/>
  </r>
  <r>
    <x v="60"/>
    <x v="99"/>
    <x v="0"/>
    <x v="60"/>
    <x v="99"/>
    <x v="0"/>
    <x v="60"/>
    <x v="24"/>
    <x v="0"/>
    <x v="60"/>
    <x v="34"/>
    <x v="0"/>
    <x v="60"/>
    <x v="98"/>
    <x v="73"/>
  </r>
  <r>
    <x v="61"/>
    <x v="98"/>
    <x v="0"/>
    <x v="61"/>
    <x v="101"/>
    <x v="0"/>
    <x v="61"/>
    <x v="23"/>
    <x v="0"/>
    <x v="61"/>
    <x v="22"/>
    <x v="0"/>
    <x v="61"/>
    <x v="95"/>
    <x v="71"/>
  </r>
  <r>
    <x v="62"/>
    <x v="71"/>
    <x v="0"/>
    <x v="62"/>
    <x v="110"/>
    <x v="0"/>
    <x v="62"/>
    <x v="13"/>
    <x v="0"/>
    <x v="62"/>
    <x v="37"/>
    <x v="0"/>
    <x v="62"/>
    <x v="59"/>
    <x v="53"/>
  </r>
  <r>
    <x v="63"/>
    <x v="19"/>
    <x v="0"/>
    <x v="63"/>
    <x v="82"/>
    <x v="0"/>
    <x v="63"/>
    <x v="14"/>
    <x v="0"/>
    <x v="63"/>
    <x v="32"/>
    <x v="0"/>
    <x v="63"/>
    <x v="21"/>
    <x v="15"/>
  </r>
  <r>
    <x v="64"/>
    <x v="2"/>
    <x v="0"/>
    <x v="64"/>
    <x v="2"/>
    <x v="0"/>
    <x v="64"/>
    <x v="4"/>
    <x v="0"/>
    <x v="64"/>
    <x v="3"/>
    <x v="0"/>
    <x v="64"/>
    <x v="1"/>
    <x v="1"/>
  </r>
  <r>
    <x v="65"/>
    <x v="1"/>
    <x v="0"/>
    <x v="65"/>
    <x v="1"/>
    <x v="0"/>
    <x v="65"/>
    <x v="1"/>
    <x v="0"/>
    <x v="65"/>
    <x v="2"/>
    <x v="0"/>
    <x v="65"/>
    <x v="0"/>
    <x v="0"/>
  </r>
  <r>
    <x v="66"/>
    <x v="0"/>
    <x v="0"/>
    <x v="66"/>
    <x v="0"/>
    <x v="0"/>
    <x v="66"/>
    <x v="2"/>
    <x v="0"/>
    <x v="66"/>
    <x v="5"/>
    <x v="0"/>
    <x v="66"/>
    <x v="0"/>
    <x v="0"/>
  </r>
  <r>
    <x v="67"/>
    <x v="21"/>
    <x v="0"/>
    <x v="67"/>
    <x v="97"/>
    <x v="0"/>
    <x v="67"/>
    <x v="5"/>
    <x v="0"/>
    <x v="67"/>
    <x v="21"/>
    <x v="0"/>
    <x v="67"/>
    <x v="17"/>
    <x v="16"/>
  </r>
  <r>
    <x v="68"/>
    <x v="29"/>
    <x v="0"/>
    <x v="68"/>
    <x v="111"/>
    <x v="0"/>
    <x v="68"/>
    <x v="0"/>
    <x v="0"/>
    <x v="68"/>
    <x v="35"/>
    <x v="0"/>
    <x v="68"/>
    <x v="29"/>
    <x v="49"/>
  </r>
  <r>
    <x v="69"/>
    <x v="30"/>
    <x v="0"/>
    <x v="69"/>
    <x v="107"/>
    <x v="0"/>
    <x v="69"/>
    <x v="41"/>
    <x v="0"/>
    <x v="69"/>
    <x v="38"/>
    <x v="0"/>
    <x v="69"/>
    <x v="27"/>
    <x v="51"/>
  </r>
  <r>
    <x v="70"/>
    <x v="25"/>
    <x v="0"/>
    <x v="70"/>
    <x v="80"/>
    <x v="0"/>
    <x v="70"/>
    <x v="21"/>
    <x v="0"/>
    <x v="70"/>
    <x v="13"/>
    <x v="0"/>
    <x v="70"/>
    <x v="23"/>
    <x v="48"/>
  </r>
  <r>
    <x v="71"/>
    <x v="10"/>
    <x v="0"/>
    <x v="71"/>
    <x v="4"/>
    <x v="0"/>
    <x v="71"/>
    <x v="3"/>
    <x v="0"/>
    <x v="71"/>
    <x v="0"/>
    <x v="0"/>
    <x v="71"/>
    <x v="14"/>
    <x v="9"/>
  </r>
  <r>
    <x v="72"/>
    <x v="13"/>
    <x v="0"/>
    <x v="72"/>
    <x v="26"/>
    <x v="0"/>
    <x v="72"/>
    <x v="16"/>
    <x v="0"/>
    <x v="72"/>
    <x v="31"/>
    <x v="0"/>
    <x v="72"/>
    <x v="5"/>
    <x v="4"/>
  </r>
  <r>
    <x v="73"/>
    <x v="5"/>
    <x v="0"/>
    <x v="73"/>
    <x v="11"/>
    <x v="0"/>
    <x v="73"/>
    <x v="7"/>
    <x v="0"/>
    <x v="73"/>
    <x v="3"/>
    <x v="0"/>
    <x v="73"/>
    <x v="4"/>
    <x v="5"/>
  </r>
  <r>
    <x v="74"/>
    <x v="6"/>
    <x v="0"/>
    <x v="74"/>
    <x v="8"/>
    <x v="0"/>
    <x v="74"/>
    <x v="4"/>
    <x v="0"/>
    <x v="74"/>
    <x v="9"/>
    <x v="0"/>
    <x v="74"/>
    <x v="3"/>
    <x v="2"/>
  </r>
  <r>
    <x v="75"/>
    <x v="7"/>
    <x v="0"/>
    <x v="75"/>
    <x v="5"/>
    <x v="0"/>
    <x v="75"/>
    <x v="4"/>
    <x v="0"/>
    <x v="75"/>
    <x v="12"/>
    <x v="0"/>
    <x v="75"/>
    <x v="6"/>
    <x v="6"/>
  </r>
  <r>
    <x v="76"/>
    <x v="12"/>
    <x v="0"/>
    <x v="76"/>
    <x v="6"/>
    <x v="0"/>
    <x v="76"/>
    <x v="5"/>
    <x v="0"/>
    <x v="76"/>
    <x v="4"/>
    <x v="0"/>
    <x v="76"/>
    <x v="10"/>
    <x v="3"/>
  </r>
  <r>
    <x v="77"/>
    <x v="9"/>
    <x v="0"/>
    <x v="77"/>
    <x v="3"/>
    <x v="0"/>
    <x v="77"/>
    <x v="5"/>
    <x v="0"/>
    <x v="77"/>
    <x v="5"/>
    <x v="0"/>
    <x v="77"/>
    <x v="11"/>
    <x v="3"/>
  </r>
  <r>
    <x v="78"/>
    <x v="11"/>
    <x v="0"/>
    <x v="78"/>
    <x v="7"/>
    <x v="0"/>
    <x v="78"/>
    <x v="8"/>
    <x v="0"/>
    <x v="78"/>
    <x v="6"/>
    <x v="0"/>
    <x v="78"/>
    <x v="8"/>
    <x v="4"/>
  </r>
  <r>
    <x v="79"/>
    <x v="15"/>
    <x v="0"/>
    <x v="79"/>
    <x v="9"/>
    <x v="0"/>
    <x v="79"/>
    <x v="3"/>
    <x v="0"/>
    <x v="79"/>
    <x v="3"/>
    <x v="0"/>
    <x v="79"/>
    <x v="13"/>
    <x v="7"/>
  </r>
  <r>
    <x v="80"/>
    <x v="16"/>
    <x v="0"/>
    <x v="80"/>
    <x v="12"/>
    <x v="0"/>
    <x v="80"/>
    <x v="7"/>
    <x v="0"/>
    <x v="80"/>
    <x v="6"/>
    <x v="0"/>
    <x v="80"/>
    <x v="15"/>
    <x v="10"/>
  </r>
  <r>
    <x v="81"/>
    <x v="3"/>
    <x v="0"/>
    <x v="81"/>
    <x v="10"/>
    <x v="0"/>
    <x v="81"/>
    <x v="0"/>
    <x v="0"/>
    <x v="81"/>
    <x v="5"/>
    <x v="0"/>
    <x v="81"/>
    <x v="2"/>
    <x v="12"/>
  </r>
  <r>
    <x v="82"/>
    <x v="20"/>
    <x v="0"/>
    <x v="82"/>
    <x v="17"/>
    <x v="0"/>
    <x v="82"/>
    <x v="9"/>
    <x v="0"/>
    <x v="82"/>
    <x v="17"/>
    <x v="0"/>
    <x v="82"/>
    <x v="19"/>
    <x v="31"/>
  </r>
  <r>
    <x v="83"/>
    <x v="22"/>
    <x v="0"/>
    <x v="83"/>
    <x v="28"/>
    <x v="0"/>
    <x v="83"/>
    <x v="12"/>
    <x v="0"/>
    <x v="83"/>
    <x v="19"/>
    <x v="0"/>
    <x v="83"/>
    <x v="20"/>
    <x v="35"/>
  </r>
  <r>
    <x v="84"/>
    <x v="23"/>
    <x v="0"/>
    <x v="84"/>
    <x v="35"/>
    <x v="0"/>
    <x v="84"/>
    <x v="10"/>
    <x v="0"/>
    <x v="84"/>
    <x v="12"/>
    <x v="0"/>
    <x v="84"/>
    <x v="22"/>
    <x v="44"/>
  </r>
  <r>
    <x v="85"/>
    <x v="26"/>
    <x v="0"/>
    <x v="85"/>
    <x v="22"/>
    <x v="0"/>
    <x v="85"/>
    <x v="11"/>
    <x v="0"/>
    <x v="85"/>
    <x v="14"/>
    <x v="0"/>
    <x v="85"/>
    <x v="24"/>
    <x v="40"/>
  </r>
  <r>
    <x v="86"/>
    <x v="24"/>
    <x v="0"/>
    <x v="86"/>
    <x v="20"/>
    <x v="0"/>
    <x v="86"/>
    <x v="7"/>
    <x v="0"/>
    <x v="86"/>
    <x v="8"/>
    <x v="0"/>
    <x v="86"/>
    <x v="26"/>
    <x v="21"/>
  </r>
  <r>
    <x v="87"/>
    <x v="31"/>
    <x v="0"/>
    <x v="87"/>
    <x v="38"/>
    <x v="0"/>
    <x v="87"/>
    <x v="20"/>
    <x v="0"/>
    <x v="87"/>
    <x v="12"/>
    <x v="0"/>
    <x v="87"/>
    <x v="25"/>
    <x v="32"/>
  </r>
  <r>
    <x v="88"/>
    <x v="45"/>
    <x v="0"/>
    <x v="88"/>
    <x v="21"/>
    <x v="0"/>
    <x v="88"/>
    <x v="13"/>
    <x v="0"/>
    <x v="88"/>
    <x v="13"/>
    <x v="0"/>
    <x v="88"/>
    <x v="42"/>
    <x v="85"/>
  </r>
  <r>
    <x v="89"/>
    <x v="51"/>
    <x v="0"/>
    <x v="89"/>
    <x v="18"/>
    <x v="0"/>
    <x v="89"/>
    <x v="29"/>
    <x v="0"/>
    <x v="89"/>
    <x v="28"/>
    <x v="0"/>
    <x v="89"/>
    <x v="54"/>
    <x v="82"/>
  </r>
  <r>
    <x v="90"/>
    <x v="68"/>
    <x v="0"/>
    <x v="90"/>
    <x v="16"/>
    <x v="0"/>
    <x v="90"/>
    <x v="12"/>
    <x v="0"/>
    <x v="90"/>
    <x v="1"/>
    <x v="0"/>
    <x v="90"/>
    <x v="65"/>
    <x v="89"/>
  </r>
  <r>
    <x v="91"/>
    <x v="54"/>
    <x v="0"/>
    <x v="91"/>
    <x v="15"/>
    <x v="0"/>
    <x v="91"/>
    <x v="13"/>
    <x v="0"/>
    <x v="91"/>
    <x v="4"/>
    <x v="0"/>
    <x v="91"/>
    <x v="55"/>
    <x v="90"/>
  </r>
  <r>
    <x v="92"/>
    <x v="70"/>
    <x v="0"/>
    <x v="92"/>
    <x v="27"/>
    <x v="0"/>
    <x v="92"/>
    <x v="11"/>
    <x v="0"/>
    <x v="92"/>
    <x v="8"/>
    <x v="0"/>
    <x v="92"/>
    <x v="63"/>
    <x v="88"/>
  </r>
  <r>
    <x v="93"/>
    <x v="76"/>
    <x v="0"/>
    <x v="93"/>
    <x v="56"/>
    <x v="0"/>
    <x v="93"/>
    <x v="12"/>
    <x v="0"/>
    <x v="93"/>
    <x v="14"/>
    <x v="0"/>
    <x v="93"/>
    <x v="81"/>
    <x v="91"/>
  </r>
  <r>
    <x v="94"/>
    <x v="52"/>
    <x v="0"/>
    <x v="94"/>
    <x v="23"/>
    <x v="0"/>
    <x v="94"/>
    <x v="14"/>
    <x v="0"/>
    <x v="94"/>
    <x v="12"/>
    <x v="0"/>
    <x v="94"/>
    <x v="53"/>
    <x v="84"/>
  </r>
  <r>
    <x v="95"/>
    <x v="28"/>
    <x v="0"/>
    <x v="95"/>
    <x v="13"/>
    <x v="0"/>
    <x v="95"/>
    <x v="11"/>
    <x v="0"/>
    <x v="95"/>
    <x v="3"/>
    <x v="0"/>
    <x v="95"/>
    <x v="35"/>
    <x v="56"/>
  </r>
  <r>
    <x v="96"/>
    <x v="34"/>
    <x v="0"/>
    <x v="96"/>
    <x v="44"/>
    <x v="0"/>
    <x v="96"/>
    <x v="10"/>
    <x v="0"/>
    <x v="96"/>
    <x v="22"/>
    <x v="0"/>
    <x v="96"/>
    <x v="32"/>
    <x v="43"/>
  </r>
  <r>
    <x v="97"/>
    <x v="36"/>
    <x v="0"/>
    <x v="97"/>
    <x v="37"/>
    <x v="0"/>
    <x v="97"/>
    <x v="8"/>
    <x v="0"/>
    <x v="97"/>
    <x v="17"/>
    <x v="0"/>
    <x v="97"/>
    <x v="39"/>
    <x v="55"/>
  </r>
  <r>
    <x v="98"/>
    <x v="38"/>
    <x v="0"/>
    <x v="98"/>
    <x v="43"/>
    <x v="0"/>
    <x v="98"/>
    <x v="9"/>
    <x v="0"/>
    <x v="98"/>
    <x v="13"/>
    <x v="0"/>
    <x v="98"/>
    <x v="36"/>
    <x v="50"/>
  </r>
  <r>
    <x v="99"/>
    <x v="42"/>
    <x v="0"/>
    <x v="99"/>
    <x v="19"/>
    <x v="0"/>
    <x v="99"/>
    <x v="7"/>
    <x v="0"/>
    <x v="99"/>
    <x v="6"/>
    <x v="0"/>
    <x v="99"/>
    <x v="48"/>
    <x v="51"/>
  </r>
  <r>
    <x v="100"/>
    <x v="33"/>
    <x v="0"/>
    <x v="100"/>
    <x v="39"/>
    <x v="0"/>
    <x v="100"/>
    <x v="4"/>
    <x v="0"/>
    <x v="100"/>
    <x v="25"/>
    <x v="0"/>
    <x v="100"/>
    <x v="33"/>
    <x v="80"/>
  </r>
  <r>
    <x v="101"/>
    <x v="85"/>
    <x v="0"/>
    <x v="101"/>
    <x v="46"/>
    <x v="0"/>
    <x v="101"/>
    <x v="20"/>
    <x v="0"/>
    <x v="101"/>
    <x v="9"/>
    <x v="0"/>
    <x v="101"/>
    <x v="74"/>
    <x v="93"/>
  </r>
  <r>
    <x v="102"/>
    <x v="84"/>
    <x v="0"/>
    <x v="102"/>
    <x v="17"/>
    <x v="0"/>
    <x v="102"/>
    <x v="15"/>
    <x v="0"/>
    <x v="102"/>
    <x v="13"/>
    <x v="0"/>
    <x v="102"/>
    <x v="90"/>
    <x v="86"/>
  </r>
  <r>
    <x v="103"/>
    <x v="32"/>
    <x v="0"/>
    <x v="103"/>
    <x v="24"/>
    <x v="0"/>
    <x v="103"/>
    <x v="7"/>
    <x v="0"/>
    <x v="103"/>
    <x v="14"/>
    <x v="0"/>
    <x v="103"/>
    <x v="31"/>
    <x v="57"/>
  </r>
  <r>
    <x v="104"/>
    <x v="35"/>
    <x v="0"/>
    <x v="104"/>
    <x v="25"/>
    <x v="0"/>
    <x v="104"/>
    <x v="6"/>
    <x v="0"/>
    <x v="104"/>
    <x v="11"/>
    <x v="0"/>
    <x v="104"/>
    <x v="28"/>
    <x v="41"/>
  </r>
  <r>
    <x v="105"/>
    <x v="107"/>
    <x v="0"/>
    <x v="105"/>
    <x v="106"/>
    <x v="0"/>
    <x v="105"/>
    <x v="18"/>
    <x v="0"/>
    <x v="105"/>
    <x v="44"/>
    <x v="0"/>
    <x v="105"/>
    <x v="108"/>
    <x v="100"/>
  </r>
  <r>
    <x v="106"/>
    <x v="116"/>
    <x v="0"/>
    <x v="106"/>
    <x v="109"/>
    <x v="0"/>
    <x v="106"/>
    <x v="35"/>
    <x v="0"/>
    <x v="106"/>
    <x v="44"/>
    <x v="0"/>
    <x v="106"/>
    <x v="117"/>
    <x v="107"/>
  </r>
  <r>
    <x v="107"/>
    <x v="114"/>
    <x v="0"/>
    <x v="107"/>
    <x v="112"/>
    <x v="0"/>
    <x v="107"/>
    <x v="25"/>
    <x v="0"/>
    <x v="107"/>
    <x v="46"/>
    <x v="0"/>
    <x v="107"/>
    <x v="113"/>
    <x v="102"/>
  </r>
  <r>
    <x v="108"/>
    <x v="105"/>
    <x v="0"/>
    <x v="108"/>
    <x v="74"/>
    <x v="0"/>
    <x v="108"/>
    <x v="16"/>
    <x v="0"/>
    <x v="108"/>
    <x v="26"/>
    <x v="0"/>
    <x v="108"/>
    <x v="104"/>
    <x v="99"/>
  </r>
  <r>
    <x v="109"/>
    <x v="119"/>
    <x v="0"/>
    <x v="109"/>
    <x v="114"/>
    <x v="0"/>
    <x v="109"/>
    <x v="18"/>
    <x v="0"/>
    <x v="109"/>
    <x v="37"/>
    <x v="0"/>
    <x v="109"/>
    <x v="115"/>
    <x v="110"/>
  </r>
  <r>
    <x v="110"/>
    <x v="111"/>
    <x v="0"/>
    <x v="110"/>
    <x v="84"/>
    <x v="0"/>
    <x v="110"/>
    <x v="20"/>
    <x v="0"/>
    <x v="110"/>
    <x v="23"/>
    <x v="0"/>
    <x v="110"/>
    <x v="112"/>
    <x v="113"/>
  </r>
  <r>
    <x v="111"/>
    <x v="117"/>
    <x v="0"/>
    <x v="111"/>
    <x v="70"/>
    <x v="0"/>
    <x v="111"/>
    <x v="10"/>
    <x v="0"/>
    <x v="111"/>
    <x v="24"/>
    <x v="0"/>
    <x v="111"/>
    <x v="116"/>
    <x v="114"/>
  </r>
  <r>
    <x v="112"/>
    <x v="115"/>
    <x v="0"/>
    <x v="112"/>
    <x v="60"/>
    <x v="0"/>
    <x v="112"/>
    <x v="14"/>
    <x v="0"/>
    <x v="112"/>
    <x v="23"/>
    <x v="0"/>
    <x v="112"/>
    <x v="114"/>
    <x v="115"/>
  </r>
  <r>
    <x v="113"/>
    <x v="112"/>
    <x v="0"/>
    <x v="113"/>
    <x v="64"/>
    <x v="0"/>
    <x v="113"/>
    <x v="17"/>
    <x v="0"/>
    <x v="113"/>
    <x v="42"/>
    <x v="0"/>
    <x v="113"/>
    <x v="111"/>
    <x v="111"/>
  </r>
  <r>
    <x v="114"/>
    <x v="113"/>
    <x v="0"/>
    <x v="114"/>
    <x v="85"/>
    <x v="0"/>
    <x v="114"/>
    <x v="22"/>
    <x v="0"/>
    <x v="114"/>
    <x v="43"/>
    <x v="0"/>
    <x v="114"/>
    <x v="107"/>
    <x v="101"/>
  </r>
  <r>
    <x v="115"/>
    <x v="118"/>
    <x v="0"/>
    <x v="115"/>
    <x v="61"/>
    <x v="0"/>
    <x v="115"/>
    <x v="13"/>
    <x v="0"/>
    <x v="115"/>
    <x v="29"/>
    <x v="0"/>
    <x v="115"/>
    <x v="118"/>
    <x v="106"/>
  </r>
  <r>
    <x v="116"/>
    <x v="101"/>
    <x v="0"/>
    <x v="116"/>
    <x v="47"/>
    <x v="0"/>
    <x v="116"/>
    <x v="13"/>
    <x v="0"/>
    <x v="116"/>
    <x v="12"/>
    <x v="0"/>
    <x v="116"/>
    <x v="101"/>
    <x v="104"/>
  </r>
  <r>
    <x v="117"/>
    <x v="108"/>
    <x v="0"/>
    <x v="117"/>
    <x v="73"/>
    <x v="0"/>
    <x v="117"/>
    <x v="26"/>
    <x v="0"/>
    <x v="117"/>
    <x v="40"/>
    <x v="0"/>
    <x v="117"/>
    <x v="103"/>
    <x v="94"/>
  </r>
  <r>
    <x v="118"/>
    <x v="82"/>
    <x v="0"/>
    <x v="118"/>
    <x v="48"/>
    <x v="0"/>
    <x v="118"/>
    <x v="11"/>
    <x v="0"/>
    <x v="118"/>
    <x v="28"/>
    <x v="0"/>
    <x v="118"/>
    <x v="94"/>
    <x v="77"/>
  </r>
  <r>
    <x v="119"/>
    <x v="17"/>
    <x v="0"/>
    <x v="119"/>
    <x v="14"/>
    <x v="0"/>
    <x v="119"/>
    <x v="10"/>
    <x v="0"/>
    <x v="119"/>
    <x v="8"/>
    <x v="0"/>
    <x v="119"/>
    <x v="16"/>
    <x v="4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4" cacheId="0" applyNumberFormats="0" applyBorderFormats="0" applyFontFormats="0" applyPatternFormats="0" applyAlignmentFormats="0" applyWidthHeightFormats="0" dataCaption="Values" updatedVersion="8" itemPrintTitles="1" indent="0" outline="1" outlineData="1" multipleFieldFilters="0">
  <location ref="A3:F9" firstHeaderRow="1" firstDataRow="2" firstDataCol="1"/>
  <pivotFields count="17">
    <pivotField showAll="0">
      <items count="1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t="default"/>
      </items>
    </pivotField>
    <pivotField dataField="1" showAll="0"/>
    <pivotField compact="0" showAll="0"/>
    <pivotField showAll="0"/>
    <pivotField dataField="1" showAll="0"/>
    <pivotField compact="0" showAll="0"/>
    <pivotField showAll="0"/>
    <pivotField dataField="1" showAll="0"/>
    <pivotField compact="0" showAll="0"/>
    <pivotField showAll="0"/>
    <pivotField dataField="1" showAll="0"/>
    <pivotField compact="0" showAll="0"/>
    <pivotField showAll="0"/>
    <pivotField showAll="0"/>
    <pivotField dataField="1" showAll="0"/>
    <pivotField showAll="0" includeNewItemsInFilter="1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 includeNewItemsInFilter="1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6"/>
  </rowFields>
  <rowItems count="5">
    <i>
      <x v="1"/>
    </i>
    <i>
      <x v="2"/>
    </i>
    <i>
      <x v="3"/>
    </i>
    <i>
      <x v="4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FB_Page_Reach" fld="1" baseField="0" baseItem="0" numFmtId="166"/>
    <dataField name="IG_Page_Reach" fld="4" baseField="0" baseItem="0" numFmtId="166"/>
    <dataField name="FB_Page_Likes" fld="7" baseField="0" baseItem="0" numFmtId="166"/>
    <dataField name="IG_Page_Followers" fld="10" baseField="0" baseItem="0" numFmtId="166"/>
    <dataField name="AD_Spend" fld="14" baseField="0" baseItem="0" numFmtId="167"/>
  </dataFields>
  <formats count="6">
    <format dxfId="5">
      <pivotArea outline="0" fieldPosition="0">
        <references count="1">
          <reference field="4294967294" count="4" selected="0">
            <x v="0"/>
            <x v="1"/>
            <x v="2"/>
            <x v="3"/>
          </reference>
        </references>
      </pivotArea>
    </format>
    <format dxfId="4">
      <pivotArea outline="0" fieldPosition="0">
        <references count="1">
          <reference field="4294967294" count="4" selected="0">
            <x v="0"/>
            <x v="1"/>
            <x v="2"/>
            <x v="3"/>
          </reference>
        </references>
      </pivotArea>
    </format>
    <format dxfId="3">
      <pivotArea outline="0" fieldPosition="0">
        <references count="1">
          <reference field="4294967294" count="1" selected="0">
            <x v="4"/>
          </reference>
        </references>
      </pivotArea>
    </format>
    <format dxfId="2">
      <pivotArea outline="0" fieldPosition="0"/>
    </format>
    <format dxfId="1">
      <pivotArea field="16" type="button" dataOnly="0" labelOnly="1" outline="0" axis="axisRow" fieldPosition="0"/>
    </format>
    <format dxfId="0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5"/>
  <sheetViews>
    <sheetView topLeftCell="A106" zoomScaleNormal="100" workbookViewId="0">
      <selection activeCell="E133" sqref="E133"/>
    </sheetView>
  </sheetViews>
  <sheetFormatPr defaultColWidth="8.6640625" defaultRowHeight="14.4" x14ac:dyDescent="0.3"/>
  <cols>
    <col min="1" max="1" width="12" customWidth="1"/>
    <col min="2" max="2" width="10.109375" customWidth="1"/>
  </cols>
  <sheetData>
    <row r="1" spans="1:2" ht="14.25" customHeight="1" x14ac:dyDescent="0.3">
      <c r="A1" t="s">
        <v>20</v>
      </c>
    </row>
    <row r="2" spans="1:2" ht="14.25" customHeight="1" x14ac:dyDescent="0.3">
      <c r="A2" t="s">
        <v>21</v>
      </c>
      <c r="B2" t="s">
        <v>20</v>
      </c>
    </row>
    <row r="3" spans="1:2" ht="14.25" customHeight="1" x14ac:dyDescent="0.3">
      <c r="A3" t="s">
        <v>22</v>
      </c>
      <c r="B3">
        <v>1993</v>
      </c>
    </row>
    <row r="4" spans="1:2" ht="14.25" customHeight="1" x14ac:dyDescent="0.3">
      <c r="A4" t="s">
        <v>23</v>
      </c>
      <c r="B4">
        <v>1497</v>
      </c>
    </row>
    <row r="5" spans="1:2" ht="14.25" customHeight="1" x14ac:dyDescent="0.3">
      <c r="A5" t="s">
        <v>24</v>
      </c>
      <c r="B5">
        <v>1721</v>
      </c>
    </row>
    <row r="6" spans="1:2" ht="14.25" customHeight="1" x14ac:dyDescent="0.3">
      <c r="A6" t="s">
        <v>25</v>
      </c>
      <c r="B6">
        <v>3058</v>
      </c>
    </row>
    <row r="7" spans="1:2" ht="14.25" customHeight="1" x14ac:dyDescent="0.3">
      <c r="A7" t="s">
        <v>26</v>
      </c>
      <c r="B7">
        <v>5882</v>
      </c>
    </row>
    <row r="8" spans="1:2" ht="14.25" customHeight="1" x14ac:dyDescent="0.3">
      <c r="A8" t="s">
        <v>27</v>
      </c>
      <c r="B8">
        <v>6203</v>
      </c>
    </row>
    <row r="9" spans="1:2" ht="14.25" customHeight="1" x14ac:dyDescent="0.3">
      <c r="A9" t="s">
        <v>28</v>
      </c>
      <c r="B9">
        <v>6158</v>
      </c>
    </row>
    <row r="10" spans="1:2" ht="14.25" customHeight="1" x14ac:dyDescent="0.3">
      <c r="A10" t="s">
        <v>29</v>
      </c>
      <c r="B10">
        <v>8785</v>
      </c>
    </row>
    <row r="11" spans="1:2" ht="14.25" customHeight="1" x14ac:dyDescent="0.3">
      <c r="A11" t="s">
        <v>30</v>
      </c>
      <c r="B11">
        <v>9352</v>
      </c>
    </row>
    <row r="12" spans="1:2" ht="14.25" customHeight="1" x14ac:dyDescent="0.3">
      <c r="A12" t="s">
        <v>31</v>
      </c>
      <c r="B12">
        <v>9686</v>
      </c>
    </row>
    <row r="13" spans="1:2" ht="14.25" customHeight="1" x14ac:dyDescent="0.3">
      <c r="A13" t="s">
        <v>32</v>
      </c>
      <c r="B13">
        <v>8584</v>
      </c>
    </row>
    <row r="14" spans="1:2" ht="14.25" customHeight="1" x14ac:dyDescent="0.3">
      <c r="A14" t="s">
        <v>33</v>
      </c>
      <c r="B14">
        <v>8599</v>
      </c>
    </row>
    <row r="15" spans="1:2" ht="14.25" customHeight="1" x14ac:dyDescent="0.3">
      <c r="A15" t="s">
        <v>34</v>
      </c>
      <c r="B15">
        <v>6006</v>
      </c>
    </row>
    <row r="16" spans="1:2" ht="14.25" customHeight="1" x14ac:dyDescent="0.3">
      <c r="A16" t="s">
        <v>35</v>
      </c>
      <c r="B16">
        <v>4816</v>
      </c>
    </row>
    <row r="17" spans="1:2" ht="14.25" customHeight="1" x14ac:dyDescent="0.3">
      <c r="A17" t="s">
        <v>36</v>
      </c>
      <c r="B17">
        <v>6935</v>
      </c>
    </row>
    <row r="18" spans="1:2" ht="14.25" customHeight="1" x14ac:dyDescent="0.3">
      <c r="A18" t="s">
        <v>37</v>
      </c>
      <c r="B18">
        <v>8092</v>
      </c>
    </row>
    <row r="19" spans="1:2" ht="14.25" customHeight="1" x14ac:dyDescent="0.3">
      <c r="A19" t="s">
        <v>38</v>
      </c>
      <c r="B19">
        <v>7128</v>
      </c>
    </row>
    <row r="20" spans="1:2" ht="14.25" customHeight="1" x14ac:dyDescent="0.3">
      <c r="A20" t="s">
        <v>39</v>
      </c>
      <c r="B20">
        <v>7356</v>
      </c>
    </row>
    <row r="21" spans="1:2" ht="14.25" customHeight="1" x14ac:dyDescent="0.3">
      <c r="A21" t="s">
        <v>40</v>
      </c>
      <c r="B21">
        <v>6772</v>
      </c>
    </row>
    <row r="22" spans="1:2" ht="14.25" customHeight="1" x14ac:dyDescent="0.3">
      <c r="A22" t="s">
        <v>41</v>
      </c>
      <c r="B22">
        <v>7194</v>
      </c>
    </row>
    <row r="23" spans="1:2" ht="14.25" customHeight="1" x14ac:dyDescent="0.3">
      <c r="A23" t="s">
        <v>42</v>
      </c>
      <c r="B23">
        <v>8337</v>
      </c>
    </row>
    <row r="24" spans="1:2" ht="14.25" customHeight="1" x14ac:dyDescent="0.3">
      <c r="A24" t="s">
        <v>43</v>
      </c>
      <c r="B24">
        <v>7695</v>
      </c>
    </row>
    <row r="25" spans="1:2" ht="14.25" customHeight="1" x14ac:dyDescent="0.3">
      <c r="A25" t="s">
        <v>44</v>
      </c>
      <c r="B25">
        <v>9331</v>
      </c>
    </row>
    <row r="26" spans="1:2" ht="14.25" customHeight="1" x14ac:dyDescent="0.3">
      <c r="A26" t="s">
        <v>45</v>
      </c>
      <c r="B26">
        <v>7673</v>
      </c>
    </row>
    <row r="27" spans="1:2" ht="14.25" customHeight="1" x14ac:dyDescent="0.3">
      <c r="A27" t="s">
        <v>46</v>
      </c>
      <c r="B27">
        <v>8256</v>
      </c>
    </row>
    <row r="28" spans="1:2" ht="14.25" customHeight="1" x14ac:dyDescent="0.3">
      <c r="A28" t="s">
        <v>47</v>
      </c>
      <c r="B28">
        <v>8576</v>
      </c>
    </row>
    <row r="29" spans="1:2" ht="14.25" customHeight="1" x14ac:dyDescent="0.3">
      <c r="A29" t="s">
        <v>48</v>
      </c>
      <c r="B29">
        <v>9474</v>
      </c>
    </row>
    <row r="30" spans="1:2" ht="14.25" customHeight="1" x14ac:dyDescent="0.3">
      <c r="A30" t="s">
        <v>49</v>
      </c>
      <c r="B30">
        <v>7396</v>
      </c>
    </row>
    <row r="31" spans="1:2" ht="14.25" customHeight="1" x14ac:dyDescent="0.3">
      <c r="A31" t="s">
        <v>50</v>
      </c>
      <c r="B31">
        <v>6199</v>
      </c>
    </row>
    <row r="32" spans="1:2" ht="14.25" customHeight="1" x14ac:dyDescent="0.3">
      <c r="A32" t="s">
        <v>51</v>
      </c>
      <c r="B32">
        <v>6265</v>
      </c>
    </row>
    <row r="33" spans="1:2" ht="14.25" customHeight="1" x14ac:dyDescent="0.3">
      <c r="A33" t="s">
        <v>52</v>
      </c>
      <c r="B33">
        <v>6074</v>
      </c>
    </row>
    <row r="34" spans="1:2" ht="14.25" customHeight="1" x14ac:dyDescent="0.3">
      <c r="A34" t="s">
        <v>53</v>
      </c>
      <c r="B34">
        <v>7299</v>
      </c>
    </row>
    <row r="35" spans="1:2" ht="14.25" customHeight="1" x14ac:dyDescent="0.3">
      <c r="A35" t="s">
        <v>54</v>
      </c>
      <c r="B35">
        <v>6366</v>
      </c>
    </row>
    <row r="36" spans="1:2" ht="14.25" customHeight="1" x14ac:dyDescent="0.3">
      <c r="A36" t="s">
        <v>55</v>
      </c>
      <c r="B36">
        <v>7455</v>
      </c>
    </row>
    <row r="37" spans="1:2" ht="14.25" customHeight="1" x14ac:dyDescent="0.3">
      <c r="A37" t="s">
        <v>56</v>
      </c>
      <c r="B37">
        <v>9423</v>
      </c>
    </row>
    <row r="38" spans="1:2" ht="14.25" customHeight="1" x14ac:dyDescent="0.3">
      <c r="A38" t="s">
        <v>57</v>
      </c>
      <c r="B38">
        <v>6979</v>
      </c>
    </row>
    <row r="39" spans="1:2" ht="14.25" customHeight="1" x14ac:dyDescent="0.3">
      <c r="A39" t="s">
        <v>58</v>
      </c>
      <c r="B39">
        <v>6386</v>
      </c>
    </row>
    <row r="40" spans="1:2" ht="14.25" customHeight="1" x14ac:dyDescent="0.3">
      <c r="A40" t="s">
        <v>59</v>
      </c>
      <c r="B40">
        <v>6525</v>
      </c>
    </row>
    <row r="41" spans="1:2" ht="14.25" customHeight="1" x14ac:dyDescent="0.3">
      <c r="A41" t="s">
        <v>60</v>
      </c>
      <c r="B41">
        <v>6328</v>
      </c>
    </row>
    <row r="42" spans="1:2" ht="14.25" customHeight="1" x14ac:dyDescent="0.3">
      <c r="A42" t="s">
        <v>61</v>
      </c>
      <c r="B42">
        <v>6839</v>
      </c>
    </row>
    <row r="43" spans="1:2" ht="14.25" customHeight="1" x14ac:dyDescent="0.3">
      <c r="A43" t="s">
        <v>62</v>
      </c>
      <c r="B43">
        <v>7157</v>
      </c>
    </row>
    <row r="44" spans="1:2" ht="14.25" customHeight="1" x14ac:dyDescent="0.3">
      <c r="A44" t="s">
        <v>63</v>
      </c>
      <c r="B44">
        <v>9234</v>
      </c>
    </row>
    <row r="45" spans="1:2" ht="14.25" customHeight="1" x14ac:dyDescent="0.3">
      <c r="A45" t="s">
        <v>64</v>
      </c>
      <c r="B45">
        <v>11204</v>
      </c>
    </row>
    <row r="46" spans="1:2" ht="14.25" customHeight="1" x14ac:dyDescent="0.3">
      <c r="A46" t="s">
        <v>65</v>
      </c>
      <c r="B46">
        <v>9895</v>
      </c>
    </row>
    <row r="47" spans="1:2" ht="14.25" customHeight="1" x14ac:dyDescent="0.3">
      <c r="A47" t="s">
        <v>66</v>
      </c>
      <c r="B47">
        <v>10339</v>
      </c>
    </row>
    <row r="48" spans="1:2" ht="14.25" customHeight="1" x14ac:dyDescent="0.3">
      <c r="A48" t="s">
        <v>67</v>
      </c>
      <c r="B48">
        <v>9953</v>
      </c>
    </row>
    <row r="49" spans="1:2" ht="14.25" customHeight="1" x14ac:dyDescent="0.3">
      <c r="A49" t="s">
        <v>68</v>
      </c>
      <c r="B49">
        <v>9622</v>
      </c>
    </row>
    <row r="50" spans="1:2" ht="14.25" customHeight="1" x14ac:dyDescent="0.3">
      <c r="A50" t="s">
        <v>69</v>
      </c>
      <c r="B50">
        <v>8351</v>
      </c>
    </row>
    <row r="51" spans="1:2" ht="14.25" customHeight="1" x14ac:dyDescent="0.3">
      <c r="A51" t="s">
        <v>70</v>
      </c>
      <c r="B51">
        <v>12476</v>
      </c>
    </row>
    <row r="52" spans="1:2" ht="14.25" customHeight="1" x14ac:dyDescent="0.3">
      <c r="A52" t="s">
        <v>71</v>
      </c>
      <c r="B52">
        <v>11381</v>
      </c>
    </row>
    <row r="53" spans="1:2" ht="14.25" customHeight="1" x14ac:dyDescent="0.3">
      <c r="A53" t="s">
        <v>72</v>
      </c>
      <c r="B53">
        <v>8699</v>
      </c>
    </row>
    <row r="54" spans="1:2" ht="14.25" customHeight="1" x14ac:dyDescent="0.3">
      <c r="A54" t="s">
        <v>73</v>
      </c>
      <c r="B54">
        <v>10031</v>
      </c>
    </row>
    <row r="55" spans="1:2" ht="14.25" customHeight="1" x14ac:dyDescent="0.3">
      <c r="A55" t="s">
        <v>74</v>
      </c>
      <c r="B55">
        <v>11106</v>
      </c>
    </row>
    <row r="56" spans="1:2" ht="14.25" customHeight="1" x14ac:dyDescent="0.3">
      <c r="A56" t="s">
        <v>75</v>
      </c>
      <c r="B56">
        <v>11963</v>
      </c>
    </row>
    <row r="57" spans="1:2" ht="14.25" customHeight="1" x14ac:dyDescent="0.3">
      <c r="A57" t="s">
        <v>76</v>
      </c>
      <c r="B57">
        <v>11787</v>
      </c>
    </row>
    <row r="58" spans="1:2" ht="14.25" customHeight="1" x14ac:dyDescent="0.3">
      <c r="A58" t="s">
        <v>77</v>
      </c>
      <c r="B58">
        <v>10024</v>
      </c>
    </row>
    <row r="59" spans="1:2" ht="14.25" customHeight="1" x14ac:dyDescent="0.3">
      <c r="A59" t="s">
        <v>78</v>
      </c>
      <c r="B59">
        <v>7369</v>
      </c>
    </row>
    <row r="60" spans="1:2" ht="14.25" customHeight="1" x14ac:dyDescent="0.3">
      <c r="A60" t="s">
        <v>79</v>
      </c>
      <c r="B60">
        <v>7720</v>
      </c>
    </row>
    <row r="61" spans="1:2" ht="14.25" customHeight="1" x14ac:dyDescent="0.3">
      <c r="A61" t="s">
        <v>80</v>
      </c>
      <c r="B61">
        <v>8842</v>
      </c>
    </row>
    <row r="62" spans="1:2" ht="14.25" customHeight="1" x14ac:dyDescent="0.3">
      <c r="A62" t="s">
        <v>81</v>
      </c>
      <c r="B62">
        <v>10137</v>
      </c>
    </row>
    <row r="63" spans="1:2" ht="14.25" customHeight="1" x14ac:dyDescent="0.3">
      <c r="A63" t="s">
        <v>82</v>
      </c>
      <c r="B63">
        <v>10248</v>
      </c>
    </row>
    <row r="64" spans="1:2" ht="14.25" customHeight="1" x14ac:dyDescent="0.3">
      <c r="A64" t="s">
        <v>83</v>
      </c>
      <c r="B64">
        <v>10156</v>
      </c>
    </row>
    <row r="65" spans="1:2" ht="14.25" customHeight="1" x14ac:dyDescent="0.3">
      <c r="A65" t="s">
        <v>84</v>
      </c>
      <c r="B65">
        <v>7804</v>
      </c>
    </row>
    <row r="66" spans="1:2" ht="14.25" customHeight="1" x14ac:dyDescent="0.3">
      <c r="A66" t="s">
        <v>85</v>
      </c>
      <c r="B66">
        <v>3164</v>
      </c>
    </row>
    <row r="67" spans="1:2" ht="14.25" customHeight="1" x14ac:dyDescent="0.3">
      <c r="A67" t="s">
        <v>86</v>
      </c>
      <c r="B67">
        <v>40</v>
      </c>
    </row>
    <row r="68" spans="1:2" ht="14.25" customHeight="1" x14ac:dyDescent="0.3">
      <c r="A68" t="s">
        <v>87</v>
      </c>
      <c r="B68">
        <v>25</v>
      </c>
    </row>
    <row r="69" spans="1:2" ht="14.25" customHeight="1" x14ac:dyDescent="0.3">
      <c r="A69" t="s">
        <v>88</v>
      </c>
      <c r="B69">
        <v>24</v>
      </c>
    </row>
    <row r="70" spans="1:2" ht="14.25" customHeight="1" x14ac:dyDescent="0.3">
      <c r="A70" t="s">
        <v>89</v>
      </c>
      <c r="B70">
        <v>3255</v>
      </c>
    </row>
    <row r="71" spans="1:2" ht="14.25" customHeight="1" x14ac:dyDescent="0.3">
      <c r="A71" t="s">
        <v>90</v>
      </c>
      <c r="B71">
        <v>5049</v>
      </c>
    </row>
    <row r="72" spans="1:2" ht="14.25" customHeight="1" x14ac:dyDescent="0.3">
      <c r="A72" t="s">
        <v>91</v>
      </c>
      <c r="B72">
        <v>5188</v>
      </c>
    </row>
    <row r="73" spans="1:2" ht="14.25" customHeight="1" x14ac:dyDescent="0.3">
      <c r="A73" t="s">
        <v>92</v>
      </c>
      <c r="B73">
        <v>4188</v>
      </c>
    </row>
    <row r="74" spans="1:2" ht="14.25" customHeight="1" x14ac:dyDescent="0.3">
      <c r="A74" t="s">
        <v>93</v>
      </c>
      <c r="B74">
        <v>1760</v>
      </c>
    </row>
    <row r="75" spans="1:2" ht="14.25" customHeight="1" x14ac:dyDescent="0.3">
      <c r="A75" t="s">
        <v>94</v>
      </c>
      <c r="B75">
        <v>1880</v>
      </c>
    </row>
    <row r="76" spans="1:2" ht="14.25" customHeight="1" x14ac:dyDescent="0.3">
      <c r="A76" t="s">
        <v>95</v>
      </c>
      <c r="B76">
        <v>1554</v>
      </c>
    </row>
    <row r="77" spans="1:2" ht="14.25" customHeight="1" x14ac:dyDescent="0.3">
      <c r="A77" t="s">
        <v>96</v>
      </c>
      <c r="B77">
        <v>1562</v>
      </c>
    </row>
    <row r="78" spans="1:2" ht="14.25" customHeight="1" x14ac:dyDescent="0.3">
      <c r="A78" t="s">
        <v>97</v>
      </c>
      <c r="B78">
        <v>1643</v>
      </c>
    </row>
    <row r="79" spans="1:2" ht="14.25" customHeight="1" x14ac:dyDescent="0.3">
      <c r="A79" t="s">
        <v>98</v>
      </c>
      <c r="B79">
        <v>1818</v>
      </c>
    </row>
    <row r="80" spans="1:2" ht="14.25" customHeight="1" x14ac:dyDescent="0.3">
      <c r="A80" t="s">
        <v>99</v>
      </c>
      <c r="B80">
        <v>1723</v>
      </c>
    </row>
    <row r="81" spans="1:2" ht="14.25" customHeight="1" x14ac:dyDescent="0.3">
      <c r="A81" t="s">
        <v>100</v>
      </c>
      <c r="B81">
        <v>1787</v>
      </c>
    </row>
    <row r="82" spans="1:2" ht="14.25" customHeight="1" x14ac:dyDescent="0.3">
      <c r="A82" t="s">
        <v>101</v>
      </c>
      <c r="B82">
        <v>2066</v>
      </c>
    </row>
    <row r="83" spans="1:2" ht="14.25" customHeight="1" x14ac:dyDescent="0.3">
      <c r="A83" t="s">
        <v>102</v>
      </c>
      <c r="B83">
        <v>2127</v>
      </c>
    </row>
    <row r="84" spans="1:2" ht="14.25" customHeight="1" x14ac:dyDescent="0.3">
      <c r="A84" t="s">
        <v>103</v>
      </c>
      <c r="B84">
        <v>1345</v>
      </c>
    </row>
    <row r="85" spans="1:2" ht="14.25" customHeight="1" x14ac:dyDescent="0.3">
      <c r="A85" t="s">
        <v>104</v>
      </c>
      <c r="B85">
        <v>3245</v>
      </c>
    </row>
    <row r="86" spans="1:2" ht="14.25" customHeight="1" x14ac:dyDescent="0.3">
      <c r="A86" t="s">
        <v>105</v>
      </c>
      <c r="B86">
        <v>3666</v>
      </c>
    </row>
    <row r="87" spans="1:2" ht="14.25" customHeight="1" x14ac:dyDescent="0.3">
      <c r="A87" t="s">
        <v>106</v>
      </c>
      <c r="B87">
        <v>3982</v>
      </c>
    </row>
    <row r="88" spans="1:2" ht="14.25" customHeight="1" x14ac:dyDescent="0.3">
      <c r="A88" t="s">
        <v>107</v>
      </c>
      <c r="B88">
        <v>4626</v>
      </c>
    </row>
    <row r="89" spans="1:2" ht="14.25" customHeight="1" x14ac:dyDescent="0.3">
      <c r="A89" t="s">
        <v>108</v>
      </c>
      <c r="B89">
        <v>4053</v>
      </c>
    </row>
    <row r="90" spans="1:2" ht="14.25" customHeight="1" x14ac:dyDescent="0.3">
      <c r="A90" t="s">
        <v>109</v>
      </c>
      <c r="B90">
        <v>5238</v>
      </c>
    </row>
    <row r="91" spans="1:2" ht="14.25" customHeight="1" x14ac:dyDescent="0.3">
      <c r="A91" t="s">
        <v>110</v>
      </c>
      <c r="B91">
        <v>6223</v>
      </c>
    </row>
    <row r="92" spans="1:2" ht="14.25" customHeight="1" x14ac:dyDescent="0.3">
      <c r="A92" t="s">
        <v>111</v>
      </c>
      <c r="B92">
        <v>6534</v>
      </c>
    </row>
    <row r="93" spans="1:2" ht="14.25" customHeight="1" x14ac:dyDescent="0.3">
      <c r="A93" t="s">
        <v>112</v>
      </c>
      <c r="B93">
        <v>7705</v>
      </c>
    </row>
    <row r="94" spans="1:2" ht="14.25" customHeight="1" x14ac:dyDescent="0.3">
      <c r="A94" t="s">
        <v>113</v>
      </c>
      <c r="B94">
        <v>6794</v>
      </c>
    </row>
    <row r="95" spans="1:2" ht="14.25" customHeight="1" x14ac:dyDescent="0.3">
      <c r="A95" t="s">
        <v>114</v>
      </c>
      <c r="B95">
        <v>7751</v>
      </c>
    </row>
    <row r="96" spans="1:2" ht="14.25" customHeight="1" x14ac:dyDescent="0.3">
      <c r="A96" t="s">
        <v>115</v>
      </c>
      <c r="B96">
        <v>8552</v>
      </c>
    </row>
    <row r="97" spans="1:2" ht="14.25" customHeight="1" x14ac:dyDescent="0.3">
      <c r="A97" t="s">
        <v>116</v>
      </c>
      <c r="B97">
        <v>6691</v>
      </c>
    </row>
    <row r="98" spans="1:2" ht="14.25" customHeight="1" x14ac:dyDescent="0.3">
      <c r="A98" t="s">
        <v>117</v>
      </c>
      <c r="B98">
        <v>4957</v>
      </c>
    </row>
    <row r="99" spans="1:2" ht="14.25" customHeight="1" x14ac:dyDescent="0.3">
      <c r="A99" t="s">
        <v>118</v>
      </c>
      <c r="B99">
        <v>5545</v>
      </c>
    </row>
    <row r="100" spans="1:2" ht="14.25" customHeight="1" x14ac:dyDescent="0.3">
      <c r="A100" t="s">
        <v>119</v>
      </c>
      <c r="B100">
        <v>5768</v>
      </c>
    </row>
    <row r="101" spans="1:2" ht="14.25" customHeight="1" x14ac:dyDescent="0.3">
      <c r="A101" t="s">
        <v>120</v>
      </c>
      <c r="B101">
        <v>5922</v>
      </c>
    </row>
    <row r="102" spans="1:2" ht="14.25" customHeight="1" x14ac:dyDescent="0.3">
      <c r="A102" t="s">
        <v>121</v>
      </c>
      <c r="B102">
        <v>6165</v>
      </c>
    </row>
    <row r="103" spans="1:2" ht="14.25" customHeight="1" x14ac:dyDescent="0.3">
      <c r="A103" t="s">
        <v>122</v>
      </c>
      <c r="B103">
        <v>5272</v>
      </c>
    </row>
    <row r="104" spans="1:2" ht="14.25" customHeight="1" x14ac:dyDescent="0.3">
      <c r="A104" t="s">
        <v>123</v>
      </c>
      <c r="B104">
        <v>8970</v>
      </c>
    </row>
    <row r="105" spans="1:2" ht="14.25" customHeight="1" x14ac:dyDescent="0.3">
      <c r="A105" t="s">
        <v>124</v>
      </c>
      <c r="B105">
        <v>8886</v>
      </c>
    </row>
    <row r="106" spans="1:2" ht="14.25" customHeight="1" x14ac:dyDescent="0.3">
      <c r="A106" t="s">
        <v>125</v>
      </c>
      <c r="B106">
        <v>5240</v>
      </c>
    </row>
    <row r="107" spans="1:2" ht="14.25" customHeight="1" x14ac:dyDescent="0.3">
      <c r="A107" t="s">
        <v>126</v>
      </c>
      <c r="B107">
        <v>5562</v>
      </c>
    </row>
    <row r="108" spans="1:2" ht="14.25" customHeight="1" x14ac:dyDescent="0.3">
      <c r="A108" t="s">
        <v>127</v>
      </c>
      <c r="B108">
        <v>11916</v>
      </c>
    </row>
    <row r="109" spans="1:2" ht="14.25" customHeight="1" x14ac:dyDescent="0.3">
      <c r="A109" t="s">
        <v>128</v>
      </c>
      <c r="B109">
        <v>14145</v>
      </c>
    </row>
    <row r="110" spans="1:2" ht="14.25" customHeight="1" x14ac:dyDescent="0.3">
      <c r="A110" t="s">
        <v>129</v>
      </c>
      <c r="B110">
        <v>12940</v>
      </c>
    </row>
    <row r="111" spans="1:2" ht="14.25" customHeight="1" x14ac:dyDescent="0.3">
      <c r="A111" t="s">
        <v>130</v>
      </c>
      <c r="B111">
        <v>11712</v>
      </c>
    </row>
    <row r="112" spans="1:2" ht="14.25" customHeight="1" x14ac:dyDescent="0.3">
      <c r="A112" t="s">
        <v>131</v>
      </c>
      <c r="B112">
        <v>14462</v>
      </c>
    </row>
    <row r="113" spans="1:2" ht="14.25" customHeight="1" x14ac:dyDescent="0.3">
      <c r="A113" t="s">
        <v>132</v>
      </c>
      <c r="B113">
        <v>12502</v>
      </c>
    </row>
    <row r="114" spans="1:2" ht="14.25" customHeight="1" x14ac:dyDescent="0.3">
      <c r="A114" t="s">
        <v>133</v>
      </c>
      <c r="B114">
        <v>14290</v>
      </c>
    </row>
    <row r="115" spans="1:2" ht="14.25" customHeight="1" x14ac:dyDescent="0.3">
      <c r="A115" t="s">
        <v>134</v>
      </c>
      <c r="B115">
        <v>13276</v>
      </c>
    </row>
    <row r="116" spans="1:2" ht="14.25" customHeight="1" x14ac:dyDescent="0.3">
      <c r="A116" t="s">
        <v>135</v>
      </c>
      <c r="B116">
        <v>12528</v>
      </c>
    </row>
    <row r="117" spans="1:2" ht="14.25" customHeight="1" x14ac:dyDescent="0.3">
      <c r="A117" t="s">
        <v>136</v>
      </c>
      <c r="B117">
        <v>12930</v>
      </c>
    </row>
    <row r="118" spans="1:2" ht="14.25" customHeight="1" x14ac:dyDescent="0.3">
      <c r="A118" t="s">
        <v>137</v>
      </c>
      <c r="B118">
        <v>14441</v>
      </c>
    </row>
    <row r="119" spans="1:2" ht="14.25" customHeight="1" x14ac:dyDescent="0.3">
      <c r="A119" t="s">
        <v>138</v>
      </c>
      <c r="B119">
        <v>10983</v>
      </c>
    </row>
    <row r="120" spans="1:2" ht="14.25" customHeight="1" x14ac:dyDescent="0.3">
      <c r="A120" t="s">
        <v>139</v>
      </c>
      <c r="B120">
        <v>11943</v>
      </c>
    </row>
    <row r="121" spans="1:2" ht="14.25" customHeight="1" x14ac:dyDescent="0.3">
      <c r="A121" t="s">
        <v>140</v>
      </c>
      <c r="B121">
        <v>8799</v>
      </c>
    </row>
    <row r="122" spans="1:2" ht="14.25" customHeight="1" x14ac:dyDescent="0.3">
      <c r="A122" t="s">
        <v>141</v>
      </c>
      <c r="B122">
        <v>2138</v>
      </c>
    </row>
    <row r="124" spans="1:2" ht="14.25" customHeight="1" x14ac:dyDescent="0.3">
      <c r="A124" t="s">
        <v>142</v>
      </c>
    </row>
    <row r="125" spans="1:2" ht="14.25" customHeight="1" x14ac:dyDescent="0.3">
      <c r="A125" t="s">
        <v>21</v>
      </c>
      <c r="B125" t="s">
        <v>142</v>
      </c>
    </row>
    <row r="126" spans="1:2" ht="14.25" customHeight="1" x14ac:dyDescent="0.3">
      <c r="A126" t="s">
        <v>22</v>
      </c>
      <c r="B126">
        <v>1314</v>
      </c>
    </row>
    <row r="127" spans="1:2" ht="14.25" customHeight="1" x14ac:dyDescent="0.3">
      <c r="A127" t="s">
        <v>23</v>
      </c>
      <c r="B127">
        <v>914</v>
      </c>
    </row>
    <row r="128" spans="1:2" ht="14.25" customHeight="1" x14ac:dyDescent="0.3">
      <c r="A128" t="s">
        <v>24</v>
      </c>
      <c r="B128">
        <v>870</v>
      </c>
    </row>
    <row r="129" spans="1:2" ht="14.25" customHeight="1" x14ac:dyDescent="0.3">
      <c r="A129" t="s">
        <v>25</v>
      </c>
      <c r="B129">
        <v>1154</v>
      </c>
    </row>
    <row r="130" spans="1:2" ht="14.25" customHeight="1" x14ac:dyDescent="0.3">
      <c r="A130" t="s">
        <v>26</v>
      </c>
      <c r="B130">
        <v>2363</v>
      </c>
    </row>
    <row r="131" spans="1:2" ht="14.25" customHeight="1" x14ac:dyDescent="0.3">
      <c r="A131" t="s">
        <v>27</v>
      </c>
      <c r="B131">
        <v>1828</v>
      </c>
    </row>
    <row r="132" spans="1:2" ht="14.25" customHeight="1" x14ac:dyDescent="0.3">
      <c r="A132" t="s">
        <v>28</v>
      </c>
      <c r="B132">
        <v>2249</v>
      </c>
    </row>
    <row r="133" spans="1:2" ht="14.25" customHeight="1" x14ac:dyDescent="0.3">
      <c r="A133" t="s">
        <v>29</v>
      </c>
      <c r="B133">
        <v>1850</v>
      </c>
    </row>
    <row r="134" spans="1:2" ht="14.25" customHeight="1" x14ac:dyDescent="0.3">
      <c r="A134" t="s">
        <v>30</v>
      </c>
      <c r="B134">
        <v>2414</v>
      </c>
    </row>
    <row r="135" spans="1:2" ht="14.25" customHeight="1" x14ac:dyDescent="0.3">
      <c r="A135" t="s">
        <v>31</v>
      </c>
      <c r="B135">
        <v>2800</v>
      </c>
    </row>
    <row r="136" spans="1:2" ht="14.25" customHeight="1" x14ac:dyDescent="0.3">
      <c r="A136" t="s">
        <v>32</v>
      </c>
      <c r="B136">
        <v>1782</v>
      </c>
    </row>
    <row r="137" spans="1:2" ht="14.25" customHeight="1" x14ac:dyDescent="0.3">
      <c r="A137" t="s">
        <v>33</v>
      </c>
      <c r="B137">
        <v>1154</v>
      </c>
    </row>
    <row r="138" spans="1:2" ht="14.25" customHeight="1" x14ac:dyDescent="0.3">
      <c r="A138" t="s">
        <v>34</v>
      </c>
      <c r="B138">
        <v>971</v>
      </c>
    </row>
    <row r="139" spans="1:2" ht="14.25" customHeight="1" x14ac:dyDescent="0.3">
      <c r="A139" t="s">
        <v>35</v>
      </c>
      <c r="B139">
        <v>873</v>
      </c>
    </row>
    <row r="140" spans="1:2" ht="14.25" customHeight="1" x14ac:dyDescent="0.3">
      <c r="A140" t="s">
        <v>36</v>
      </c>
      <c r="B140">
        <v>2369</v>
      </c>
    </row>
    <row r="141" spans="1:2" ht="14.25" customHeight="1" x14ac:dyDescent="0.3">
      <c r="A141" t="s">
        <v>37</v>
      </c>
      <c r="B141">
        <v>3527</v>
      </c>
    </row>
    <row r="142" spans="1:2" ht="14.25" customHeight="1" x14ac:dyDescent="0.3">
      <c r="A142" t="s">
        <v>38</v>
      </c>
      <c r="B142">
        <v>2291</v>
      </c>
    </row>
    <row r="143" spans="1:2" ht="14.25" customHeight="1" x14ac:dyDescent="0.3">
      <c r="A143" t="s">
        <v>39</v>
      </c>
      <c r="B143">
        <v>2068</v>
      </c>
    </row>
    <row r="144" spans="1:2" ht="14.25" customHeight="1" x14ac:dyDescent="0.3">
      <c r="A144" t="s">
        <v>40</v>
      </c>
      <c r="B144">
        <v>1617</v>
      </c>
    </row>
    <row r="145" spans="1:2" ht="14.25" customHeight="1" x14ac:dyDescent="0.3">
      <c r="A145" t="s">
        <v>41</v>
      </c>
      <c r="B145">
        <v>1655</v>
      </c>
    </row>
    <row r="146" spans="1:2" ht="14.25" customHeight="1" x14ac:dyDescent="0.3">
      <c r="A146" t="s">
        <v>42</v>
      </c>
      <c r="B146">
        <v>1514</v>
      </c>
    </row>
    <row r="147" spans="1:2" ht="14.25" customHeight="1" x14ac:dyDescent="0.3">
      <c r="A147" t="s">
        <v>43</v>
      </c>
      <c r="B147">
        <v>1400</v>
      </c>
    </row>
    <row r="148" spans="1:2" ht="14.25" customHeight="1" x14ac:dyDescent="0.3">
      <c r="A148" t="s">
        <v>44</v>
      </c>
      <c r="B148">
        <v>2057</v>
      </c>
    </row>
    <row r="149" spans="1:2" ht="14.25" customHeight="1" x14ac:dyDescent="0.3">
      <c r="A149" t="s">
        <v>45</v>
      </c>
      <c r="B149">
        <v>1885</v>
      </c>
    </row>
    <row r="150" spans="1:2" ht="14.25" customHeight="1" x14ac:dyDescent="0.3">
      <c r="A150" t="s">
        <v>46</v>
      </c>
      <c r="B150">
        <v>2313</v>
      </c>
    </row>
    <row r="151" spans="1:2" ht="14.25" customHeight="1" x14ac:dyDescent="0.3">
      <c r="A151" t="s">
        <v>47</v>
      </c>
      <c r="B151">
        <v>2925</v>
      </c>
    </row>
    <row r="152" spans="1:2" ht="14.25" customHeight="1" x14ac:dyDescent="0.3">
      <c r="A152" t="s">
        <v>48</v>
      </c>
      <c r="B152">
        <v>2130</v>
      </c>
    </row>
    <row r="153" spans="1:2" ht="14.25" customHeight="1" x14ac:dyDescent="0.3">
      <c r="A153" t="s">
        <v>49</v>
      </c>
      <c r="B153">
        <v>2216</v>
      </c>
    </row>
    <row r="154" spans="1:2" ht="14.25" customHeight="1" x14ac:dyDescent="0.3">
      <c r="A154" t="s">
        <v>50</v>
      </c>
      <c r="B154">
        <v>2199</v>
      </c>
    </row>
    <row r="155" spans="1:2" ht="14.25" customHeight="1" x14ac:dyDescent="0.3">
      <c r="A155" t="s">
        <v>51</v>
      </c>
      <c r="B155">
        <v>1977</v>
      </c>
    </row>
    <row r="156" spans="1:2" ht="14.25" customHeight="1" x14ac:dyDescent="0.3">
      <c r="A156" t="s">
        <v>52</v>
      </c>
      <c r="B156">
        <v>1698</v>
      </c>
    </row>
    <row r="157" spans="1:2" ht="14.25" customHeight="1" x14ac:dyDescent="0.3">
      <c r="A157" t="s">
        <v>53</v>
      </c>
      <c r="B157">
        <v>1823</v>
      </c>
    </row>
    <row r="158" spans="1:2" ht="14.25" customHeight="1" x14ac:dyDescent="0.3">
      <c r="A158" t="s">
        <v>54</v>
      </c>
      <c r="B158">
        <v>2859</v>
      </c>
    </row>
    <row r="159" spans="1:2" ht="14.25" customHeight="1" x14ac:dyDescent="0.3">
      <c r="A159" t="s">
        <v>55</v>
      </c>
      <c r="B159">
        <v>1892</v>
      </c>
    </row>
    <row r="160" spans="1:2" ht="14.25" customHeight="1" x14ac:dyDescent="0.3">
      <c r="A160" t="s">
        <v>56</v>
      </c>
      <c r="B160">
        <v>2264</v>
      </c>
    </row>
    <row r="161" spans="1:2" ht="14.25" customHeight="1" x14ac:dyDescent="0.3">
      <c r="A161" t="s">
        <v>57</v>
      </c>
      <c r="B161">
        <v>1307</v>
      </c>
    </row>
    <row r="162" spans="1:2" ht="14.25" customHeight="1" x14ac:dyDescent="0.3">
      <c r="A162" t="s">
        <v>58</v>
      </c>
      <c r="B162">
        <v>1073</v>
      </c>
    </row>
    <row r="163" spans="1:2" ht="14.25" customHeight="1" x14ac:dyDescent="0.3">
      <c r="A163" t="s">
        <v>59</v>
      </c>
      <c r="B163">
        <v>1299</v>
      </c>
    </row>
    <row r="164" spans="1:2" ht="14.25" customHeight="1" x14ac:dyDescent="0.3">
      <c r="A164" t="s">
        <v>60</v>
      </c>
      <c r="B164">
        <v>1074</v>
      </c>
    </row>
    <row r="165" spans="1:2" ht="14.25" customHeight="1" x14ac:dyDescent="0.3">
      <c r="A165" t="s">
        <v>61</v>
      </c>
      <c r="B165">
        <v>926</v>
      </c>
    </row>
    <row r="166" spans="1:2" ht="14.25" customHeight="1" x14ac:dyDescent="0.3">
      <c r="A166" t="s">
        <v>62</v>
      </c>
      <c r="B166">
        <v>890</v>
      </c>
    </row>
    <row r="167" spans="1:2" ht="14.25" customHeight="1" x14ac:dyDescent="0.3">
      <c r="A167" t="s">
        <v>63</v>
      </c>
      <c r="B167">
        <v>892</v>
      </c>
    </row>
    <row r="168" spans="1:2" ht="14.25" customHeight="1" x14ac:dyDescent="0.3">
      <c r="A168" t="s">
        <v>64</v>
      </c>
      <c r="B168">
        <v>1121</v>
      </c>
    </row>
    <row r="169" spans="1:2" ht="14.25" customHeight="1" x14ac:dyDescent="0.3">
      <c r="A169" t="s">
        <v>65</v>
      </c>
      <c r="B169">
        <v>1322</v>
      </c>
    </row>
    <row r="170" spans="1:2" ht="14.25" customHeight="1" x14ac:dyDescent="0.3">
      <c r="A170" t="s">
        <v>66</v>
      </c>
      <c r="B170">
        <v>1448</v>
      </c>
    </row>
    <row r="171" spans="1:2" ht="14.25" customHeight="1" x14ac:dyDescent="0.3">
      <c r="A171" t="s">
        <v>67</v>
      </c>
      <c r="B171">
        <v>2085</v>
      </c>
    </row>
    <row r="172" spans="1:2" ht="14.25" customHeight="1" x14ac:dyDescent="0.3">
      <c r="A172" t="s">
        <v>68</v>
      </c>
      <c r="B172">
        <v>1597</v>
      </c>
    </row>
    <row r="173" spans="1:2" ht="14.25" customHeight="1" x14ac:dyDescent="0.3">
      <c r="A173" t="s">
        <v>69</v>
      </c>
      <c r="B173">
        <v>1539</v>
      </c>
    </row>
    <row r="174" spans="1:2" ht="14.25" customHeight="1" x14ac:dyDescent="0.3">
      <c r="A174" t="s">
        <v>70</v>
      </c>
      <c r="B174">
        <v>1617</v>
      </c>
    </row>
    <row r="175" spans="1:2" ht="14.25" customHeight="1" x14ac:dyDescent="0.3">
      <c r="A175" t="s">
        <v>71</v>
      </c>
      <c r="B175">
        <v>1837</v>
      </c>
    </row>
    <row r="176" spans="1:2" ht="14.25" customHeight="1" x14ac:dyDescent="0.3">
      <c r="A176" t="s">
        <v>72</v>
      </c>
      <c r="B176">
        <v>2392</v>
      </c>
    </row>
    <row r="177" spans="1:2" ht="14.25" customHeight="1" x14ac:dyDescent="0.3">
      <c r="A177" t="s">
        <v>73</v>
      </c>
      <c r="B177">
        <v>3230</v>
      </c>
    </row>
    <row r="178" spans="1:2" ht="14.25" customHeight="1" x14ac:dyDescent="0.3">
      <c r="A178" t="s">
        <v>74</v>
      </c>
      <c r="B178">
        <v>2700</v>
      </c>
    </row>
    <row r="179" spans="1:2" ht="14.25" customHeight="1" x14ac:dyDescent="0.3">
      <c r="A179" t="s">
        <v>75</v>
      </c>
      <c r="B179">
        <v>2634</v>
      </c>
    </row>
    <row r="180" spans="1:2" ht="14.25" customHeight="1" x14ac:dyDescent="0.3">
      <c r="A180" t="s">
        <v>76</v>
      </c>
      <c r="B180">
        <v>2332</v>
      </c>
    </row>
    <row r="181" spans="1:2" ht="14.25" customHeight="1" x14ac:dyDescent="0.3">
      <c r="A181" t="s">
        <v>77</v>
      </c>
      <c r="B181">
        <v>2800</v>
      </c>
    </row>
    <row r="182" spans="1:2" ht="14.25" customHeight="1" x14ac:dyDescent="0.3">
      <c r="A182" t="s">
        <v>78</v>
      </c>
      <c r="B182">
        <v>2424</v>
      </c>
    </row>
    <row r="183" spans="1:2" ht="14.25" customHeight="1" x14ac:dyDescent="0.3">
      <c r="A183" t="s">
        <v>79</v>
      </c>
      <c r="B183">
        <v>2667</v>
      </c>
    </row>
    <row r="184" spans="1:2" ht="14.25" customHeight="1" x14ac:dyDescent="0.3">
      <c r="A184" t="s">
        <v>80</v>
      </c>
      <c r="B184">
        <v>3150</v>
      </c>
    </row>
    <row r="185" spans="1:2" ht="14.25" customHeight="1" x14ac:dyDescent="0.3">
      <c r="A185" t="s">
        <v>81</v>
      </c>
      <c r="B185">
        <v>2761</v>
      </c>
    </row>
    <row r="186" spans="1:2" ht="14.25" customHeight="1" x14ac:dyDescent="0.3">
      <c r="A186" t="s">
        <v>82</v>
      </c>
      <c r="B186">
        <v>2685</v>
      </c>
    </row>
    <row r="187" spans="1:2" ht="14.25" customHeight="1" x14ac:dyDescent="0.3">
      <c r="A187" t="s">
        <v>83</v>
      </c>
      <c r="B187">
        <v>2711</v>
      </c>
    </row>
    <row r="188" spans="1:2" ht="14.25" customHeight="1" x14ac:dyDescent="0.3">
      <c r="A188" t="s">
        <v>84</v>
      </c>
      <c r="B188">
        <v>3245</v>
      </c>
    </row>
    <row r="189" spans="1:2" ht="14.25" customHeight="1" x14ac:dyDescent="0.3">
      <c r="A189" t="s">
        <v>85</v>
      </c>
      <c r="B189">
        <v>2207</v>
      </c>
    </row>
    <row r="190" spans="1:2" ht="14.25" customHeight="1" x14ac:dyDescent="0.3">
      <c r="A190" t="s">
        <v>86</v>
      </c>
      <c r="B190">
        <v>17</v>
      </c>
    </row>
    <row r="191" spans="1:2" ht="14.25" customHeight="1" x14ac:dyDescent="0.3">
      <c r="A191" t="s">
        <v>87</v>
      </c>
      <c r="B191">
        <v>8</v>
      </c>
    </row>
    <row r="192" spans="1:2" ht="14.25" customHeight="1" x14ac:dyDescent="0.3">
      <c r="A192" t="s">
        <v>88</v>
      </c>
      <c r="B192">
        <v>4</v>
      </c>
    </row>
    <row r="193" spans="1:2" ht="14.25" customHeight="1" x14ac:dyDescent="0.3">
      <c r="A193" t="s">
        <v>89</v>
      </c>
      <c r="B193">
        <v>2637</v>
      </c>
    </row>
    <row r="194" spans="1:2" ht="14.25" customHeight="1" x14ac:dyDescent="0.3">
      <c r="A194" t="s">
        <v>90</v>
      </c>
      <c r="B194">
        <v>3386</v>
      </c>
    </row>
    <row r="195" spans="1:2" ht="14.25" customHeight="1" x14ac:dyDescent="0.3">
      <c r="A195" t="s">
        <v>91</v>
      </c>
      <c r="B195">
        <v>3081</v>
      </c>
    </row>
    <row r="196" spans="1:2" ht="14.25" customHeight="1" x14ac:dyDescent="0.3">
      <c r="A196" t="s">
        <v>92</v>
      </c>
      <c r="B196">
        <v>2152</v>
      </c>
    </row>
    <row r="197" spans="1:2" ht="14.25" customHeight="1" x14ac:dyDescent="0.3">
      <c r="A197" t="s">
        <v>93</v>
      </c>
      <c r="B197">
        <v>153</v>
      </c>
    </row>
    <row r="198" spans="1:2" ht="14.25" customHeight="1" x14ac:dyDescent="0.3">
      <c r="A198" t="s">
        <v>94</v>
      </c>
      <c r="B198">
        <v>813</v>
      </c>
    </row>
    <row r="199" spans="1:2" ht="14.25" customHeight="1" x14ac:dyDescent="0.3">
      <c r="A199" t="s">
        <v>95</v>
      </c>
      <c r="B199">
        <v>273</v>
      </c>
    </row>
    <row r="200" spans="1:2" ht="14.25" customHeight="1" x14ac:dyDescent="0.3">
      <c r="A200" t="s">
        <v>96</v>
      </c>
      <c r="B200">
        <v>186</v>
      </c>
    </row>
    <row r="201" spans="1:2" ht="14.25" customHeight="1" x14ac:dyDescent="0.3">
      <c r="A201" t="s">
        <v>97</v>
      </c>
      <c r="B201">
        <v>155</v>
      </c>
    </row>
    <row r="202" spans="1:2" ht="14.25" customHeight="1" x14ac:dyDescent="0.3">
      <c r="A202" t="s">
        <v>98</v>
      </c>
      <c r="B202">
        <v>158</v>
      </c>
    </row>
    <row r="203" spans="1:2" ht="14.25" customHeight="1" x14ac:dyDescent="0.3">
      <c r="A203" t="s">
        <v>99</v>
      </c>
      <c r="B203">
        <v>137</v>
      </c>
    </row>
    <row r="204" spans="1:2" ht="14.25" customHeight="1" x14ac:dyDescent="0.3">
      <c r="A204" t="s">
        <v>100</v>
      </c>
      <c r="B204">
        <v>165</v>
      </c>
    </row>
    <row r="205" spans="1:2" ht="14.25" customHeight="1" x14ac:dyDescent="0.3">
      <c r="A205" t="s">
        <v>101</v>
      </c>
      <c r="B205">
        <v>214</v>
      </c>
    </row>
    <row r="206" spans="1:2" ht="14.25" customHeight="1" x14ac:dyDescent="0.3">
      <c r="A206" t="s">
        <v>102</v>
      </c>
      <c r="B206">
        <v>435</v>
      </c>
    </row>
    <row r="207" spans="1:2" ht="14.25" customHeight="1" x14ac:dyDescent="0.3">
      <c r="A207" t="s">
        <v>103</v>
      </c>
      <c r="B207">
        <v>261</v>
      </c>
    </row>
    <row r="208" spans="1:2" ht="14.25" customHeight="1" x14ac:dyDescent="0.3">
      <c r="A208" t="s">
        <v>104</v>
      </c>
      <c r="B208">
        <v>604</v>
      </c>
    </row>
    <row r="209" spans="1:2" ht="14.25" customHeight="1" x14ac:dyDescent="0.3">
      <c r="A209" t="s">
        <v>105</v>
      </c>
      <c r="B209">
        <v>866</v>
      </c>
    </row>
    <row r="210" spans="1:2" ht="14.25" customHeight="1" x14ac:dyDescent="0.3">
      <c r="A210" t="s">
        <v>106</v>
      </c>
      <c r="B210">
        <v>950</v>
      </c>
    </row>
    <row r="211" spans="1:2" ht="14.25" customHeight="1" x14ac:dyDescent="0.3">
      <c r="A211" t="s">
        <v>107</v>
      </c>
      <c r="B211">
        <v>760</v>
      </c>
    </row>
    <row r="212" spans="1:2" ht="14.25" customHeight="1" x14ac:dyDescent="0.3">
      <c r="A212" t="s">
        <v>108</v>
      </c>
      <c r="B212">
        <v>690</v>
      </c>
    </row>
    <row r="213" spans="1:2" ht="14.25" customHeight="1" x14ac:dyDescent="0.3">
      <c r="A213" t="s">
        <v>109</v>
      </c>
      <c r="B213">
        <v>1054</v>
      </c>
    </row>
    <row r="214" spans="1:2" ht="14.25" customHeight="1" x14ac:dyDescent="0.3">
      <c r="A214" t="s">
        <v>110</v>
      </c>
      <c r="B214">
        <v>737</v>
      </c>
    </row>
    <row r="215" spans="1:2" ht="14.25" customHeight="1" x14ac:dyDescent="0.3">
      <c r="A215" t="s">
        <v>111</v>
      </c>
      <c r="B215">
        <v>678</v>
      </c>
    </row>
    <row r="216" spans="1:2" ht="14.25" customHeight="1" x14ac:dyDescent="0.3">
      <c r="A216" t="s">
        <v>112</v>
      </c>
      <c r="B216">
        <v>544</v>
      </c>
    </row>
    <row r="217" spans="1:2" ht="14.25" customHeight="1" x14ac:dyDescent="0.3">
      <c r="A217" t="s">
        <v>113</v>
      </c>
      <c r="B217">
        <v>509</v>
      </c>
    </row>
    <row r="218" spans="1:2" ht="14.25" customHeight="1" x14ac:dyDescent="0.3">
      <c r="A218" t="s">
        <v>114</v>
      </c>
      <c r="B218">
        <v>837</v>
      </c>
    </row>
    <row r="219" spans="1:2" ht="14.25" customHeight="1" x14ac:dyDescent="0.3">
      <c r="A219" t="s">
        <v>115</v>
      </c>
      <c r="B219">
        <v>1537</v>
      </c>
    </row>
    <row r="220" spans="1:2" ht="14.25" customHeight="1" x14ac:dyDescent="0.3">
      <c r="A220" t="s">
        <v>116</v>
      </c>
      <c r="B220">
        <v>770</v>
      </c>
    </row>
    <row r="221" spans="1:2" ht="14.25" customHeight="1" x14ac:dyDescent="0.3">
      <c r="A221" t="s">
        <v>117</v>
      </c>
      <c r="B221">
        <v>450</v>
      </c>
    </row>
    <row r="222" spans="1:2" ht="14.25" customHeight="1" x14ac:dyDescent="0.3">
      <c r="A222" t="s">
        <v>118</v>
      </c>
      <c r="B222">
        <v>1152</v>
      </c>
    </row>
    <row r="223" spans="1:2" ht="14.25" customHeight="1" x14ac:dyDescent="0.3">
      <c r="A223" t="s">
        <v>119</v>
      </c>
      <c r="B223">
        <v>1043</v>
      </c>
    </row>
    <row r="224" spans="1:2" ht="14.25" customHeight="1" x14ac:dyDescent="0.3">
      <c r="A224" t="s">
        <v>120</v>
      </c>
      <c r="B224">
        <v>1147</v>
      </c>
    </row>
    <row r="225" spans="1:2" ht="14.25" customHeight="1" x14ac:dyDescent="0.3">
      <c r="A225" t="s">
        <v>121</v>
      </c>
      <c r="B225">
        <v>689</v>
      </c>
    </row>
    <row r="226" spans="1:2" ht="14.25" customHeight="1" x14ac:dyDescent="0.3">
      <c r="A226" t="s">
        <v>122</v>
      </c>
      <c r="B226">
        <v>1058</v>
      </c>
    </row>
    <row r="227" spans="1:2" ht="14.25" customHeight="1" x14ac:dyDescent="0.3">
      <c r="A227" t="s">
        <v>123</v>
      </c>
      <c r="B227">
        <v>1164</v>
      </c>
    </row>
    <row r="228" spans="1:2" ht="14.25" customHeight="1" x14ac:dyDescent="0.3">
      <c r="A228" t="s">
        <v>124</v>
      </c>
      <c r="B228">
        <v>604</v>
      </c>
    </row>
    <row r="229" spans="1:2" ht="14.25" customHeight="1" x14ac:dyDescent="0.3">
      <c r="A229" t="s">
        <v>125</v>
      </c>
      <c r="B229">
        <v>801</v>
      </c>
    </row>
    <row r="230" spans="1:2" ht="14.25" customHeight="1" x14ac:dyDescent="0.3">
      <c r="A230" t="s">
        <v>126</v>
      </c>
      <c r="B230">
        <v>810</v>
      </c>
    </row>
    <row r="231" spans="1:2" ht="14.25" customHeight="1" x14ac:dyDescent="0.3">
      <c r="A231" t="s">
        <v>127</v>
      </c>
      <c r="B231">
        <v>3067</v>
      </c>
    </row>
    <row r="232" spans="1:2" ht="14.25" customHeight="1" x14ac:dyDescent="0.3">
      <c r="A232" t="s">
        <v>128</v>
      </c>
      <c r="B232">
        <v>3230</v>
      </c>
    </row>
    <row r="233" spans="1:2" ht="14.25" customHeight="1" x14ac:dyDescent="0.3">
      <c r="A233" t="s">
        <v>129</v>
      </c>
      <c r="B233">
        <v>3488</v>
      </c>
    </row>
    <row r="234" spans="1:2" ht="14.25" customHeight="1" x14ac:dyDescent="0.3">
      <c r="A234" t="s">
        <v>130</v>
      </c>
      <c r="B234">
        <v>1974</v>
      </c>
    </row>
    <row r="235" spans="1:2" ht="14.25" customHeight="1" x14ac:dyDescent="0.3">
      <c r="A235" t="s">
        <v>131</v>
      </c>
      <c r="B235">
        <v>4032</v>
      </c>
    </row>
    <row r="236" spans="1:2" ht="14.25" customHeight="1" x14ac:dyDescent="0.3">
      <c r="A236" t="s">
        <v>132</v>
      </c>
      <c r="B236">
        <v>2237</v>
      </c>
    </row>
    <row r="237" spans="1:2" ht="14.25" customHeight="1" x14ac:dyDescent="0.3">
      <c r="A237" t="s">
        <v>133</v>
      </c>
      <c r="B237">
        <v>1852</v>
      </c>
    </row>
    <row r="238" spans="1:2" ht="14.25" customHeight="1" x14ac:dyDescent="0.3">
      <c r="A238" t="s">
        <v>134</v>
      </c>
      <c r="B238">
        <v>1637</v>
      </c>
    </row>
    <row r="239" spans="1:2" ht="14.25" customHeight="1" x14ac:dyDescent="0.3">
      <c r="A239" t="s">
        <v>135</v>
      </c>
      <c r="B239">
        <v>1772</v>
      </c>
    </row>
    <row r="240" spans="1:2" ht="14.25" customHeight="1" x14ac:dyDescent="0.3">
      <c r="A240" t="s">
        <v>136</v>
      </c>
      <c r="B240">
        <v>2243</v>
      </c>
    </row>
    <row r="241" spans="1:2" ht="14.25" customHeight="1" x14ac:dyDescent="0.3">
      <c r="A241" t="s">
        <v>137</v>
      </c>
      <c r="B241">
        <v>1646</v>
      </c>
    </row>
    <row r="242" spans="1:2" ht="14.25" customHeight="1" x14ac:dyDescent="0.3">
      <c r="A242" t="s">
        <v>138</v>
      </c>
      <c r="B242">
        <v>1280</v>
      </c>
    </row>
    <row r="243" spans="1:2" ht="14.25" customHeight="1" x14ac:dyDescent="0.3">
      <c r="A243" t="s">
        <v>139</v>
      </c>
      <c r="B243">
        <v>1946</v>
      </c>
    </row>
    <row r="244" spans="1:2" ht="14.25" customHeight="1" x14ac:dyDescent="0.3">
      <c r="A244" t="s">
        <v>140</v>
      </c>
      <c r="B244">
        <v>1288</v>
      </c>
    </row>
    <row r="245" spans="1:2" ht="14.25" customHeight="1" x14ac:dyDescent="0.3">
      <c r="A245" t="s">
        <v>141</v>
      </c>
      <c r="B245">
        <v>476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1"/>
  <sheetViews>
    <sheetView tabSelected="1" topLeftCell="A112" zoomScaleNormal="100" workbookViewId="0">
      <selection activeCell="B1" sqref="B1"/>
    </sheetView>
  </sheetViews>
  <sheetFormatPr defaultColWidth="8.6640625" defaultRowHeight="14.4" x14ac:dyDescent="0.3"/>
  <cols>
    <col min="1" max="2" width="18.6640625" customWidth="1"/>
    <col min="3" max="3" width="19.109375" customWidth="1"/>
  </cols>
  <sheetData>
    <row r="1" spans="1:3" s="1" customFormat="1" ht="14.25" customHeight="1" x14ac:dyDescent="0.3">
      <c r="A1" s="1" t="s">
        <v>21</v>
      </c>
      <c r="B1" s="1" t="s">
        <v>21</v>
      </c>
      <c r="C1" s="1" t="s">
        <v>20</v>
      </c>
    </row>
    <row r="2" spans="1:3" ht="14.25" customHeight="1" x14ac:dyDescent="0.3">
      <c r="A2" t="s">
        <v>22</v>
      </c>
      <c r="B2" s="2">
        <v>44927</v>
      </c>
      <c r="C2">
        <v>1993</v>
      </c>
    </row>
    <row r="3" spans="1:3" ht="14.25" customHeight="1" x14ac:dyDescent="0.3">
      <c r="A3" s="2" t="s">
        <v>23</v>
      </c>
      <c r="B3" s="2">
        <v>44928</v>
      </c>
      <c r="C3">
        <v>1497</v>
      </c>
    </row>
    <row r="4" spans="1:3" ht="14.25" customHeight="1" x14ac:dyDescent="0.3">
      <c r="A4" s="2" t="s">
        <v>24</v>
      </c>
      <c r="B4" s="2">
        <v>44929</v>
      </c>
      <c r="C4">
        <v>1721</v>
      </c>
    </row>
    <row r="5" spans="1:3" ht="14.25" customHeight="1" x14ac:dyDescent="0.3">
      <c r="A5" s="2" t="s">
        <v>25</v>
      </c>
      <c r="B5" s="2">
        <v>44930</v>
      </c>
      <c r="C5">
        <v>3058</v>
      </c>
    </row>
    <row r="6" spans="1:3" ht="14.25" customHeight="1" x14ac:dyDescent="0.3">
      <c r="A6" s="2" t="s">
        <v>26</v>
      </c>
      <c r="B6" s="2">
        <v>44931</v>
      </c>
      <c r="C6">
        <v>5882</v>
      </c>
    </row>
    <row r="7" spans="1:3" ht="14.25" customHeight="1" x14ac:dyDescent="0.3">
      <c r="A7" s="2" t="s">
        <v>27</v>
      </c>
      <c r="B7" s="2">
        <v>44932</v>
      </c>
      <c r="C7">
        <v>6203</v>
      </c>
    </row>
    <row r="8" spans="1:3" ht="14.25" customHeight="1" x14ac:dyDescent="0.3">
      <c r="A8" s="2" t="s">
        <v>28</v>
      </c>
      <c r="B8" s="2">
        <v>44933</v>
      </c>
      <c r="C8">
        <v>6158</v>
      </c>
    </row>
    <row r="9" spans="1:3" ht="14.25" customHeight="1" x14ac:dyDescent="0.3">
      <c r="A9" s="2" t="s">
        <v>29</v>
      </c>
      <c r="B9" s="2">
        <v>44934</v>
      </c>
      <c r="C9">
        <v>8785</v>
      </c>
    </row>
    <row r="10" spans="1:3" ht="14.25" customHeight="1" x14ac:dyDescent="0.3">
      <c r="A10" s="2" t="s">
        <v>30</v>
      </c>
      <c r="B10" s="2">
        <v>44935</v>
      </c>
      <c r="C10">
        <v>9352</v>
      </c>
    </row>
    <row r="11" spans="1:3" ht="14.25" customHeight="1" x14ac:dyDescent="0.3">
      <c r="A11" s="2" t="s">
        <v>31</v>
      </c>
      <c r="B11" s="2">
        <v>44936</v>
      </c>
      <c r="C11">
        <v>9686</v>
      </c>
    </row>
    <row r="12" spans="1:3" ht="14.25" customHeight="1" x14ac:dyDescent="0.3">
      <c r="A12" s="2" t="s">
        <v>32</v>
      </c>
      <c r="B12" s="2">
        <v>44937</v>
      </c>
      <c r="C12">
        <v>8584</v>
      </c>
    </row>
    <row r="13" spans="1:3" ht="14.25" customHeight="1" x14ac:dyDescent="0.3">
      <c r="A13" s="2" t="s">
        <v>33</v>
      </c>
      <c r="B13" s="2">
        <v>44938</v>
      </c>
      <c r="C13">
        <v>8599</v>
      </c>
    </row>
    <row r="14" spans="1:3" ht="14.25" customHeight="1" x14ac:dyDescent="0.3">
      <c r="A14" s="2" t="s">
        <v>34</v>
      </c>
      <c r="B14" s="2">
        <v>44939</v>
      </c>
      <c r="C14">
        <v>6006</v>
      </c>
    </row>
    <row r="15" spans="1:3" ht="14.25" customHeight="1" x14ac:dyDescent="0.3">
      <c r="A15" s="2" t="s">
        <v>35</v>
      </c>
      <c r="B15" s="2">
        <v>44940</v>
      </c>
      <c r="C15">
        <v>4816</v>
      </c>
    </row>
    <row r="16" spans="1:3" ht="14.25" customHeight="1" x14ac:dyDescent="0.3">
      <c r="A16" s="2" t="s">
        <v>36</v>
      </c>
      <c r="B16" s="2">
        <v>44941</v>
      </c>
      <c r="C16">
        <v>6935</v>
      </c>
    </row>
    <row r="17" spans="1:3" ht="14.25" customHeight="1" x14ac:dyDescent="0.3">
      <c r="A17" s="2" t="s">
        <v>37</v>
      </c>
      <c r="B17" s="2">
        <v>44942</v>
      </c>
      <c r="C17">
        <v>8092</v>
      </c>
    </row>
    <row r="18" spans="1:3" ht="14.25" customHeight="1" x14ac:dyDescent="0.3">
      <c r="A18" s="2" t="s">
        <v>38</v>
      </c>
      <c r="B18" s="2">
        <v>44943</v>
      </c>
      <c r="C18">
        <v>7128</v>
      </c>
    </row>
    <row r="19" spans="1:3" ht="14.25" customHeight="1" x14ac:dyDescent="0.3">
      <c r="A19" s="2" t="s">
        <v>39</v>
      </c>
      <c r="B19" s="2">
        <v>44944</v>
      </c>
      <c r="C19">
        <v>7356</v>
      </c>
    </row>
    <row r="20" spans="1:3" ht="14.25" customHeight="1" x14ac:dyDescent="0.3">
      <c r="A20" s="2" t="s">
        <v>40</v>
      </c>
      <c r="B20" s="2">
        <v>44945</v>
      </c>
      <c r="C20">
        <v>6772</v>
      </c>
    </row>
    <row r="21" spans="1:3" ht="14.25" customHeight="1" x14ac:dyDescent="0.3">
      <c r="A21" s="2" t="s">
        <v>41</v>
      </c>
      <c r="B21" s="2">
        <v>44946</v>
      </c>
      <c r="C21">
        <v>7194</v>
      </c>
    </row>
    <row r="22" spans="1:3" ht="14.25" customHeight="1" x14ac:dyDescent="0.3">
      <c r="A22" s="2" t="s">
        <v>42</v>
      </c>
      <c r="B22" s="2">
        <v>44947</v>
      </c>
      <c r="C22">
        <v>8337</v>
      </c>
    </row>
    <row r="23" spans="1:3" ht="14.25" customHeight="1" x14ac:dyDescent="0.3">
      <c r="A23" s="2" t="s">
        <v>43</v>
      </c>
      <c r="B23" s="2">
        <v>44948</v>
      </c>
      <c r="C23">
        <v>7695</v>
      </c>
    </row>
    <row r="24" spans="1:3" ht="14.25" customHeight="1" x14ac:dyDescent="0.3">
      <c r="A24" s="2" t="s">
        <v>44</v>
      </c>
      <c r="B24" s="2">
        <v>44949</v>
      </c>
      <c r="C24">
        <v>9331</v>
      </c>
    </row>
    <row r="25" spans="1:3" ht="14.25" customHeight="1" x14ac:dyDescent="0.3">
      <c r="A25" s="2" t="s">
        <v>45</v>
      </c>
      <c r="B25" s="2">
        <v>44950</v>
      </c>
      <c r="C25">
        <v>7673</v>
      </c>
    </row>
    <row r="26" spans="1:3" ht="14.25" customHeight="1" x14ac:dyDescent="0.3">
      <c r="A26" s="2" t="s">
        <v>46</v>
      </c>
      <c r="B26" s="2">
        <v>44951</v>
      </c>
      <c r="C26">
        <v>8256</v>
      </c>
    </row>
    <row r="27" spans="1:3" ht="14.25" customHeight="1" x14ac:dyDescent="0.3">
      <c r="A27" s="2" t="s">
        <v>47</v>
      </c>
      <c r="B27" s="2">
        <v>44952</v>
      </c>
      <c r="C27">
        <v>8576</v>
      </c>
    </row>
    <row r="28" spans="1:3" ht="14.25" customHeight="1" x14ac:dyDescent="0.3">
      <c r="A28" s="2" t="s">
        <v>48</v>
      </c>
      <c r="B28" s="2">
        <v>44953</v>
      </c>
      <c r="C28">
        <v>9474</v>
      </c>
    </row>
    <row r="29" spans="1:3" ht="14.25" customHeight="1" x14ac:dyDescent="0.3">
      <c r="A29" s="2" t="s">
        <v>49</v>
      </c>
      <c r="B29" s="2">
        <v>44954</v>
      </c>
      <c r="C29">
        <v>7396</v>
      </c>
    </row>
    <row r="30" spans="1:3" ht="14.25" customHeight="1" x14ac:dyDescent="0.3">
      <c r="A30" s="2" t="s">
        <v>50</v>
      </c>
      <c r="B30" s="2">
        <v>44955</v>
      </c>
      <c r="C30">
        <v>6199</v>
      </c>
    </row>
    <row r="31" spans="1:3" ht="14.25" customHeight="1" x14ac:dyDescent="0.3">
      <c r="A31" s="2" t="s">
        <v>51</v>
      </c>
      <c r="B31" s="2">
        <v>44956</v>
      </c>
      <c r="C31">
        <v>6265</v>
      </c>
    </row>
    <row r="32" spans="1:3" ht="14.25" customHeight="1" x14ac:dyDescent="0.3">
      <c r="A32" s="2" t="s">
        <v>52</v>
      </c>
      <c r="B32" s="2">
        <v>44957</v>
      </c>
      <c r="C32">
        <v>6074</v>
      </c>
    </row>
    <row r="33" spans="1:3" ht="14.25" customHeight="1" x14ac:dyDescent="0.3">
      <c r="A33" s="2" t="s">
        <v>53</v>
      </c>
      <c r="B33" s="2">
        <v>44958</v>
      </c>
      <c r="C33">
        <v>7299</v>
      </c>
    </row>
    <row r="34" spans="1:3" ht="14.25" customHeight="1" x14ac:dyDescent="0.3">
      <c r="A34" s="2" t="s">
        <v>54</v>
      </c>
      <c r="B34" s="2">
        <v>44959</v>
      </c>
      <c r="C34">
        <v>6366</v>
      </c>
    </row>
    <row r="35" spans="1:3" ht="14.25" customHeight="1" x14ac:dyDescent="0.3">
      <c r="A35" s="2" t="s">
        <v>55</v>
      </c>
      <c r="B35" s="2">
        <v>44960</v>
      </c>
      <c r="C35">
        <v>7455</v>
      </c>
    </row>
    <row r="36" spans="1:3" ht="14.25" customHeight="1" x14ac:dyDescent="0.3">
      <c r="A36" s="2" t="s">
        <v>56</v>
      </c>
      <c r="B36" s="2">
        <v>44961</v>
      </c>
      <c r="C36">
        <v>9423</v>
      </c>
    </row>
    <row r="37" spans="1:3" ht="14.25" customHeight="1" x14ac:dyDescent="0.3">
      <c r="A37" s="2" t="s">
        <v>57</v>
      </c>
      <c r="B37" s="2">
        <v>44962</v>
      </c>
      <c r="C37">
        <v>6979</v>
      </c>
    </row>
    <row r="38" spans="1:3" ht="14.25" customHeight="1" x14ac:dyDescent="0.3">
      <c r="A38" s="2" t="s">
        <v>58</v>
      </c>
      <c r="B38" s="2">
        <v>44963</v>
      </c>
      <c r="C38">
        <v>6386</v>
      </c>
    </row>
    <row r="39" spans="1:3" ht="14.25" customHeight="1" x14ac:dyDescent="0.3">
      <c r="A39" s="2" t="s">
        <v>59</v>
      </c>
      <c r="B39" s="2">
        <v>44964</v>
      </c>
      <c r="C39">
        <v>6525</v>
      </c>
    </row>
    <row r="40" spans="1:3" ht="14.25" customHeight="1" x14ac:dyDescent="0.3">
      <c r="A40" s="2" t="s">
        <v>60</v>
      </c>
      <c r="B40" s="2">
        <v>44965</v>
      </c>
      <c r="C40">
        <v>6328</v>
      </c>
    </row>
    <row r="41" spans="1:3" ht="14.25" customHeight="1" x14ac:dyDescent="0.3">
      <c r="A41" s="2" t="s">
        <v>61</v>
      </c>
      <c r="B41" s="2">
        <v>44966</v>
      </c>
      <c r="C41">
        <v>6839</v>
      </c>
    </row>
    <row r="42" spans="1:3" ht="14.25" customHeight="1" x14ac:dyDescent="0.3">
      <c r="A42" s="2" t="s">
        <v>62</v>
      </c>
      <c r="B42" s="2">
        <v>44967</v>
      </c>
      <c r="C42">
        <v>7157</v>
      </c>
    </row>
    <row r="43" spans="1:3" ht="14.25" customHeight="1" x14ac:dyDescent="0.3">
      <c r="A43" s="2" t="s">
        <v>63</v>
      </c>
      <c r="B43" s="2">
        <v>44968</v>
      </c>
      <c r="C43">
        <v>9234</v>
      </c>
    </row>
    <row r="44" spans="1:3" ht="14.25" customHeight="1" x14ac:dyDescent="0.3">
      <c r="A44" s="2" t="s">
        <v>64</v>
      </c>
      <c r="B44" s="2">
        <v>44969</v>
      </c>
      <c r="C44">
        <v>11204</v>
      </c>
    </row>
    <row r="45" spans="1:3" ht="14.25" customHeight="1" x14ac:dyDescent="0.3">
      <c r="A45" s="2" t="s">
        <v>65</v>
      </c>
      <c r="B45" s="2">
        <v>44970</v>
      </c>
      <c r="C45">
        <v>9895</v>
      </c>
    </row>
    <row r="46" spans="1:3" ht="14.25" customHeight="1" x14ac:dyDescent="0.3">
      <c r="A46" s="2" t="s">
        <v>66</v>
      </c>
      <c r="B46" s="2">
        <v>44971</v>
      </c>
      <c r="C46">
        <v>10339</v>
      </c>
    </row>
    <row r="47" spans="1:3" ht="14.25" customHeight="1" x14ac:dyDescent="0.3">
      <c r="A47" s="2" t="s">
        <v>67</v>
      </c>
      <c r="B47" s="2">
        <v>44972</v>
      </c>
      <c r="C47">
        <v>9953</v>
      </c>
    </row>
    <row r="48" spans="1:3" ht="14.25" customHeight="1" x14ac:dyDescent="0.3">
      <c r="A48" s="2" t="s">
        <v>68</v>
      </c>
      <c r="B48" s="2">
        <v>44973</v>
      </c>
      <c r="C48">
        <v>9622</v>
      </c>
    </row>
    <row r="49" spans="1:3" ht="14.25" customHeight="1" x14ac:dyDescent="0.3">
      <c r="A49" s="2" t="s">
        <v>69</v>
      </c>
      <c r="B49" s="2">
        <v>44974</v>
      </c>
      <c r="C49">
        <v>8351</v>
      </c>
    </row>
    <row r="50" spans="1:3" ht="14.25" customHeight="1" x14ac:dyDescent="0.3">
      <c r="A50" s="2" t="s">
        <v>70</v>
      </c>
      <c r="B50" s="2">
        <v>44975</v>
      </c>
      <c r="C50">
        <v>12476</v>
      </c>
    </row>
    <row r="51" spans="1:3" ht="14.25" customHeight="1" x14ac:dyDescent="0.3">
      <c r="A51" s="2" t="s">
        <v>71</v>
      </c>
      <c r="B51" s="2">
        <v>44976</v>
      </c>
      <c r="C51">
        <v>11381</v>
      </c>
    </row>
    <row r="52" spans="1:3" ht="14.25" customHeight="1" x14ac:dyDescent="0.3">
      <c r="A52" s="2" t="s">
        <v>72</v>
      </c>
      <c r="B52" s="2">
        <v>44977</v>
      </c>
      <c r="C52">
        <v>8699</v>
      </c>
    </row>
    <row r="53" spans="1:3" ht="14.25" customHeight="1" x14ac:dyDescent="0.3">
      <c r="A53" s="2" t="s">
        <v>73</v>
      </c>
      <c r="B53" s="2">
        <v>44978</v>
      </c>
      <c r="C53">
        <v>10031</v>
      </c>
    </row>
    <row r="54" spans="1:3" ht="14.25" customHeight="1" x14ac:dyDescent="0.3">
      <c r="A54" s="2" t="s">
        <v>74</v>
      </c>
      <c r="B54" s="2">
        <v>44979</v>
      </c>
      <c r="C54">
        <v>11106</v>
      </c>
    </row>
    <row r="55" spans="1:3" ht="14.25" customHeight="1" x14ac:dyDescent="0.3">
      <c r="A55" s="2" t="s">
        <v>75</v>
      </c>
      <c r="B55" s="2">
        <v>44980</v>
      </c>
      <c r="C55">
        <v>11963</v>
      </c>
    </row>
    <row r="56" spans="1:3" ht="14.25" customHeight="1" x14ac:dyDescent="0.3">
      <c r="A56" s="2" t="s">
        <v>76</v>
      </c>
      <c r="B56" s="2">
        <v>44981</v>
      </c>
      <c r="C56">
        <v>11787</v>
      </c>
    </row>
    <row r="57" spans="1:3" ht="14.25" customHeight="1" x14ac:dyDescent="0.3">
      <c r="A57" s="2" t="s">
        <v>77</v>
      </c>
      <c r="B57" s="2">
        <v>44982</v>
      </c>
      <c r="C57">
        <v>10024</v>
      </c>
    </row>
    <row r="58" spans="1:3" ht="14.25" customHeight="1" x14ac:dyDescent="0.3">
      <c r="A58" s="2" t="s">
        <v>78</v>
      </c>
      <c r="B58" s="2">
        <v>44983</v>
      </c>
      <c r="C58">
        <v>7369</v>
      </c>
    </row>
    <row r="59" spans="1:3" ht="14.25" customHeight="1" x14ac:dyDescent="0.3">
      <c r="A59" s="2" t="s">
        <v>79</v>
      </c>
      <c r="B59" s="2">
        <v>44984</v>
      </c>
      <c r="C59">
        <v>7720</v>
      </c>
    </row>
    <row r="60" spans="1:3" ht="14.25" customHeight="1" x14ac:dyDescent="0.3">
      <c r="A60" s="2" t="s">
        <v>80</v>
      </c>
      <c r="B60" s="2">
        <v>44985</v>
      </c>
      <c r="C60">
        <v>8842</v>
      </c>
    </row>
    <row r="61" spans="1:3" ht="14.25" customHeight="1" x14ac:dyDescent="0.3">
      <c r="A61" s="2" t="s">
        <v>81</v>
      </c>
      <c r="B61" s="2">
        <v>44986</v>
      </c>
      <c r="C61">
        <v>10137</v>
      </c>
    </row>
    <row r="62" spans="1:3" ht="14.25" customHeight="1" x14ac:dyDescent="0.3">
      <c r="A62" s="2" t="s">
        <v>82</v>
      </c>
      <c r="B62" s="2">
        <v>44987</v>
      </c>
      <c r="C62">
        <v>10248</v>
      </c>
    </row>
    <row r="63" spans="1:3" ht="14.25" customHeight="1" x14ac:dyDescent="0.3">
      <c r="A63" s="2" t="s">
        <v>83</v>
      </c>
      <c r="B63" s="2">
        <v>44988</v>
      </c>
      <c r="C63">
        <v>10156</v>
      </c>
    </row>
    <row r="64" spans="1:3" ht="14.25" customHeight="1" x14ac:dyDescent="0.3">
      <c r="A64" s="2" t="s">
        <v>84</v>
      </c>
      <c r="B64" s="2">
        <v>44989</v>
      </c>
      <c r="C64">
        <v>7804</v>
      </c>
    </row>
    <row r="65" spans="1:3" ht="14.25" customHeight="1" x14ac:dyDescent="0.3">
      <c r="A65" s="2" t="s">
        <v>85</v>
      </c>
      <c r="B65" s="2">
        <v>44990</v>
      </c>
      <c r="C65">
        <v>3164</v>
      </c>
    </row>
    <row r="66" spans="1:3" ht="14.25" customHeight="1" x14ac:dyDescent="0.3">
      <c r="A66" s="2" t="s">
        <v>86</v>
      </c>
      <c r="B66" s="2">
        <v>44991</v>
      </c>
      <c r="C66">
        <v>40</v>
      </c>
    </row>
    <row r="67" spans="1:3" s="4" customFormat="1" ht="14.25" customHeight="1" x14ac:dyDescent="0.3">
      <c r="A67" s="3" t="s">
        <v>87</v>
      </c>
      <c r="B67" s="2">
        <v>44992</v>
      </c>
      <c r="C67" s="4">
        <v>25</v>
      </c>
    </row>
    <row r="68" spans="1:3" s="4" customFormat="1" ht="14.25" customHeight="1" x14ac:dyDescent="0.3">
      <c r="A68" s="3" t="s">
        <v>88</v>
      </c>
      <c r="B68" s="2">
        <v>44993</v>
      </c>
      <c r="C68" s="4">
        <v>24</v>
      </c>
    </row>
    <row r="69" spans="1:3" ht="14.25" customHeight="1" x14ac:dyDescent="0.3">
      <c r="A69" s="2" t="s">
        <v>89</v>
      </c>
      <c r="B69" s="2">
        <v>44994</v>
      </c>
      <c r="C69">
        <v>3255</v>
      </c>
    </row>
    <row r="70" spans="1:3" ht="14.25" customHeight="1" x14ac:dyDescent="0.3">
      <c r="A70" s="2" t="s">
        <v>90</v>
      </c>
      <c r="B70" s="2">
        <v>44995</v>
      </c>
      <c r="C70">
        <v>5049</v>
      </c>
    </row>
    <row r="71" spans="1:3" ht="14.25" customHeight="1" x14ac:dyDescent="0.3">
      <c r="A71" s="2" t="s">
        <v>91</v>
      </c>
      <c r="B71" s="2">
        <v>44996</v>
      </c>
      <c r="C71">
        <v>5188</v>
      </c>
    </row>
    <row r="72" spans="1:3" ht="14.25" customHeight="1" x14ac:dyDescent="0.3">
      <c r="A72" s="2" t="s">
        <v>92</v>
      </c>
      <c r="B72" s="2">
        <v>44997</v>
      </c>
      <c r="C72">
        <v>4188</v>
      </c>
    </row>
    <row r="73" spans="1:3" ht="14.25" customHeight="1" x14ac:dyDescent="0.3">
      <c r="A73" s="2" t="s">
        <v>93</v>
      </c>
      <c r="B73" s="2">
        <v>44998</v>
      </c>
      <c r="C73">
        <v>1760</v>
      </c>
    </row>
    <row r="74" spans="1:3" ht="14.25" customHeight="1" x14ac:dyDescent="0.3">
      <c r="A74" s="2" t="s">
        <v>94</v>
      </c>
      <c r="B74" s="2">
        <v>44999</v>
      </c>
      <c r="C74">
        <v>1880</v>
      </c>
    </row>
    <row r="75" spans="1:3" ht="14.25" customHeight="1" x14ac:dyDescent="0.3">
      <c r="A75" s="2" t="s">
        <v>95</v>
      </c>
      <c r="B75" s="2">
        <v>45000</v>
      </c>
      <c r="C75">
        <v>1554</v>
      </c>
    </row>
    <row r="76" spans="1:3" ht="14.25" customHeight="1" x14ac:dyDescent="0.3">
      <c r="A76" s="2" t="s">
        <v>96</v>
      </c>
      <c r="B76" s="2">
        <v>45001</v>
      </c>
      <c r="C76">
        <v>1562</v>
      </c>
    </row>
    <row r="77" spans="1:3" ht="14.25" customHeight="1" x14ac:dyDescent="0.3">
      <c r="A77" s="2" t="s">
        <v>97</v>
      </c>
      <c r="B77" s="2">
        <v>45002</v>
      </c>
      <c r="C77">
        <v>1643</v>
      </c>
    </row>
    <row r="78" spans="1:3" ht="14.25" customHeight="1" x14ac:dyDescent="0.3">
      <c r="A78" s="2" t="s">
        <v>98</v>
      </c>
      <c r="B78" s="2">
        <v>45003</v>
      </c>
      <c r="C78">
        <v>1818</v>
      </c>
    </row>
    <row r="79" spans="1:3" ht="14.25" customHeight="1" x14ac:dyDescent="0.3">
      <c r="A79" s="2" t="s">
        <v>99</v>
      </c>
      <c r="B79" s="2">
        <v>45004</v>
      </c>
      <c r="C79">
        <v>1723</v>
      </c>
    </row>
    <row r="80" spans="1:3" ht="14.25" customHeight="1" x14ac:dyDescent="0.3">
      <c r="A80" s="2" t="s">
        <v>100</v>
      </c>
      <c r="B80" s="2">
        <v>45005</v>
      </c>
      <c r="C80">
        <v>1787</v>
      </c>
    </row>
    <row r="81" spans="1:3" ht="14.25" customHeight="1" x14ac:dyDescent="0.3">
      <c r="A81" s="2" t="s">
        <v>101</v>
      </c>
      <c r="B81" s="2">
        <v>45006</v>
      </c>
      <c r="C81">
        <v>2066</v>
      </c>
    </row>
    <row r="82" spans="1:3" ht="14.25" customHeight="1" x14ac:dyDescent="0.3">
      <c r="A82" s="2" t="s">
        <v>102</v>
      </c>
      <c r="B82" s="2">
        <v>45007</v>
      </c>
      <c r="C82">
        <v>2127</v>
      </c>
    </row>
    <row r="83" spans="1:3" ht="14.25" customHeight="1" x14ac:dyDescent="0.3">
      <c r="A83" s="2" t="s">
        <v>103</v>
      </c>
      <c r="B83" s="2">
        <v>45008</v>
      </c>
      <c r="C83">
        <v>1345</v>
      </c>
    </row>
    <row r="84" spans="1:3" ht="14.25" customHeight="1" x14ac:dyDescent="0.3">
      <c r="A84" s="2" t="s">
        <v>104</v>
      </c>
      <c r="B84" s="2">
        <v>45009</v>
      </c>
      <c r="C84">
        <v>3245</v>
      </c>
    </row>
    <row r="85" spans="1:3" ht="14.25" customHeight="1" x14ac:dyDescent="0.3">
      <c r="A85" s="2" t="s">
        <v>105</v>
      </c>
      <c r="B85" s="2">
        <v>45010</v>
      </c>
      <c r="C85">
        <v>3666</v>
      </c>
    </row>
    <row r="86" spans="1:3" ht="14.25" customHeight="1" x14ac:dyDescent="0.3">
      <c r="A86" s="2" t="s">
        <v>106</v>
      </c>
      <c r="B86" s="2">
        <v>45011</v>
      </c>
      <c r="C86">
        <v>3982</v>
      </c>
    </row>
    <row r="87" spans="1:3" ht="14.25" customHeight="1" x14ac:dyDescent="0.3">
      <c r="A87" s="2" t="s">
        <v>107</v>
      </c>
      <c r="B87" s="2">
        <v>45012</v>
      </c>
      <c r="C87">
        <v>4626</v>
      </c>
    </row>
    <row r="88" spans="1:3" ht="14.25" customHeight="1" x14ac:dyDescent="0.3">
      <c r="A88" s="2" t="s">
        <v>108</v>
      </c>
      <c r="B88" s="2">
        <v>45013</v>
      </c>
      <c r="C88">
        <v>4053</v>
      </c>
    </row>
    <row r="89" spans="1:3" ht="14.25" customHeight="1" x14ac:dyDescent="0.3">
      <c r="A89" s="2" t="s">
        <v>109</v>
      </c>
      <c r="B89" s="2">
        <v>45014</v>
      </c>
      <c r="C89">
        <v>5238</v>
      </c>
    </row>
    <row r="90" spans="1:3" ht="14.25" customHeight="1" x14ac:dyDescent="0.3">
      <c r="A90" s="2" t="s">
        <v>110</v>
      </c>
      <c r="B90" s="2">
        <v>45015</v>
      </c>
      <c r="C90">
        <v>6223</v>
      </c>
    </row>
    <row r="91" spans="1:3" ht="14.25" customHeight="1" x14ac:dyDescent="0.3">
      <c r="A91" s="2" t="s">
        <v>111</v>
      </c>
      <c r="B91" s="2">
        <v>45016</v>
      </c>
      <c r="C91">
        <v>6534</v>
      </c>
    </row>
    <row r="92" spans="1:3" ht="14.25" customHeight="1" x14ac:dyDescent="0.3">
      <c r="A92" s="2" t="s">
        <v>112</v>
      </c>
      <c r="B92" s="2">
        <v>45017</v>
      </c>
      <c r="C92">
        <v>7705</v>
      </c>
    </row>
    <row r="93" spans="1:3" ht="14.25" customHeight="1" x14ac:dyDescent="0.3">
      <c r="A93" s="2" t="s">
        <v>113</v>
      </c>
      <c r="B93" s="2">
        <v>45018</v>
      </c>
      <c r="C93">
        <v>6794</v>
      </c>
    </row>
    <row r="94" spans="1:3" ht="14.25" customHeight="1" x14ac:dyDescent="0.3">
      <c r="A94" s="2" t="s">
        <v>114</v>
      </c>
      <c r="B94" s="2">
        <v>45019</v>
      </c>
      <c r="C94">
        <v>7751</v>
      </c>
    </row>
    <row r="95" spans="1:3" ht="14.25" customHeight="1" x14ac:dyDescent="0.3">
      <c r="A95" s="2" t="s">
        <v>115</v>
      </c>
      <c r="B95" s="2">
        <v>45020</v>
      </c>
      <c r="C95">
        <v>8552</v>
      </c>
    </row>
    <row r="96" spans="1:3" ht="14.25" customHeight="1" x14ac:dyDescent="0.3">
      <c r="A96" s="2" t="s">
        <v>116</v>
      </c>
      <c r="B96" s="2">
        <v>45021</v>
      </c>
      <c r="C96">
        <v>6691</v>
      </c>
    </row>
    <row r="97" spans="1:3" ht="14.25" customHeight="1" x14ac:dyDescent="0.3">
      <c r="A97" s="2" t="s">
        <v>117</v>
      </c>
      <c r="B97" s="2">
        <v>45022</v>
      </c>
      <c r="C97">
        <v>4957</v>
      </c>
    </row>
    <row r="98" spans="1:3" ht="14.25" customHeight="1" x14ac:dyDescent="0.3">
      <c r="A98" s="2" t="s">
        <v>118</v>
      </c>
      <c r="B98" s="2">
        <v>45023</v>
      </c>
      <c r="C98">
        <v>5545</v>
      </c>
    </row>
    <row r="99" spans="1:3" ht="14.25" customHeight="1" x14ac:dyDescent="0.3">
      <c r="A99" s="2" t="s">
        <v>119</v>
      </c>
      <c r="B99" s="2">
        <v>45024</v>
      </c>
      <c r="C99">
        <v>5768</v>
      </c>
    </row>
    <row r="100" spans="1:3" ht="14.25" customHeight="1" x14ac:dyDescent="0.3">
      <c r="A100" s="2" t="s">
        <v>120</v>
      </c>
      <c r="B100" s="2">
        <v>45025</v>
      </c>
      <c r="C100">
        <v>5922</v>
      </c>
    </row>
    <row r="101" spans="1:3" ht="14.25" customHeight="1" x14ac:dyDescent="0.3">
      <c r="A101" s="2" t="s">
        <v>121</v>
      </c>
      <c r="B101" s="2">
        <v>45026</v>
      </c>
      <c r="C101">
        <v>6165</v>
      </c>
    </row>
    <row r="102" spans="1:3" ht="14.25" customHeight="1" x14ac:dyDescent="0.3">
      <c r="A102" s="2" t="s">
        <v>122</v>
      </c>
      <c r="B102" s="2">
        <v>45027</v>
      </c>
      <c r="C102">
        <v>5272</v>
      </c>
    </row>
    <row r="103" spans="1:3" ht="14.25" customHeight="1" x14ac:dyDescent="0.3">
      <c r="A103" s="2" t="s">
        <v>123</v>
      </c>
      <c r="B103" s="2">
        <v>45028</v>
      </c>
      <c r="C103">
        <v>8970</v>
      </c>
    </row>
    <row r="104" spans="1:3" ht="14.25" customHeight="1" x14ac:dyDescent="0.3">
      <c r="A104" s="2" t="s">
        <v>124</v>
      </c>
      <c r="B104" s="2">
        <v>45029</v>
      </c>
      <c r="C104">
        <v>8886</v>
      </c>
    </row>
    <row r="105" spans="1:3" ht="14.25" customHeight="1" x14ac:dyDescent="0.3">
      <c r="A105" s="2" t="s">
        <v>125</v>
      </c>
      <c r="B105" s="2">
        <v>45030</v>
      </c>
      <c r="C105">
        <v>5240</v>
      </c>
    </row>
    <row r="106" spans="1:3" ht="14.25" customHeight="1" x14ac:dyDescent="0.3">
      <c r="A106" s="2" t="s">
        <v>126</v>
      </c>
      <c r="B106" s="2">
        <v>45031</v>
      </c>
      <c r="C106">
        <v>5562</v>
      </c>
    </row>
    <row r="107" spans="1:3" ht="14.25" customHeight="1" x14ac:dyDescent="0.3">
      <c r="A107" s="2" t="s">
        <v>127</v>
      </c>
      <c r="B107" s="2">
        <v>45032</v>
      </c>
      <c r="C107">
        <v>11916</v>
      </c>
    </row>
    <row r="108" spans="1:3" ht="14.25" customHeight="1" x14ac:dyDescent="0.3">
      <c r="A108" s="2" t="s">
        <v>128</v>
      </c>
      <c r="B108" s="2">
        <v>45033</v>
      </c>
      <c r="C108">
        <v>14145</v>
      </c>
    </row>
    <row r="109" spans="1:3" ht="14.25" customHeight="1" x14ac:dyDescent="0.3">
      <c r="A109" s="2" t="s">
        <v>129</v>
      </c>
      <c r="B109" s="2">
        <v>45034</v>
      </c>
      <c r="C109">
        <v>12940</v>
      </c>
    </row>
    <row r="110" spans="1:3" ht="14.25" customHeight="1" x14ac:dyDescent="0.3">
      <c r="A110" s="2" t="s">
        <v>130</v>
      </c>
      <c r="B110" s="2">
        <v>45035</v>
      </c>
      <c r="C110">
        <v>11712</v>
      </c>
    </row>
    <row r="111" spans="1:3" ht="14.25" customHeight="1" x14ac:dyDescent="0.3">
      <c r="A111" s="2" t="s">
        <v>131</v>
      </c>
      <c r="B111" s="2">
        <v>45036</v>
      </c>
      <c r="C111">
        <v>14462</v>
      </c>
    </row>
    <row r="112" spans="1:3" ht="14.25" customHeight="1" x14ac:dyDescent="0.3">
      <c r="A112" s="2" t="s">
        <v>132</v>
      </c>
      <c r="B112" s="2">
        <v>45037</v>
      </c>
      <c r="C112">
        <v>12502</v>
      </c>
    </row>
    <row r="113" spans="1:3" ht="14.25" customHeight="1" x14ac:dyDescent="0.3">
      <c r="A113" s="2" t="s">
        <v>133</v>
      </c>
      <c r="B113" s="2">
        <v>45038</v>
      </c>
      <c r="C113">
        <v>14290</v>
      </c>
    </row>
    <row r="114" spans="1:3" ht="14.25" customHeight="1" x14ac:dyDescent="0.3">
      <c r="A114" s="2" t="s">
        <v>134</v>
      </c>
      <c r="B114" s="2">
        <v>45039</v>
      </c>
      <c r="C114">
        <v>13276</v>
      </c>
    </row>
    <row r="115" spans="1:3" ht="14.25" customHeight="1" x14ac:dyDescent="0.3">
      <c r="A115" s="2" t="s">
        <v>135</v>
      </c>
      <c r="B115" s="2">
        <v>45040</v>
      </c>
      <c r="C115">
        <v>12528</v>
      </c>
    </row>
    <row r="116" spans="1:3" ht="14.25" customHeight="1" x14ac:dyDescent="0.3">
      <c r="A116" s="2" t="s">
        <v>136</v>
      </c>
      <c r="B116" s="2">
        <v>45041</v>
      </c>
      <c r="C116">
        <v>12930</v>
      </c>
    </row>
    <row r="117" spans="1:3" ht="14.25" customHeight="1" x14ac:dyDescent="0.3">
      <c r="A117" s="2" t="s">
        <v>137</v>
      </c>
      <c r="B117" s="2">
        <v>45042</v>
      </c>
      <c r="C117">
        <v>14441</v>
      </c>
    </row>
    <row r="118" spans="1:3" ht="14.25" customHeight="1" x14ac:dyDescent="0.3">
      <c r="A118" s="2" t="s">
        <v>138</v>
      </c>
      <c r="B118" s="2">
        <v>45043</v>
      </c>
      <c r="C118">
        <v>10983</v>
      </c>
    </row>
    <row r="119" spans="1:3" ht="14.25" customHeight="1" x14ac:dyDescent="0.3">
      <c r="A119" s="2" t="s">
        <v>139</v>
      </c>
      <c r="B119" s="2">
        <v>45044</v>
      </c>
      <c r="C119">
        <v>11943</v>
      </c>
    </row>
    <row r="120" spans="1:3" ht="14.25" customHeight="1" x14ac:dyDescent="0.3">
      <c r="A120" s="2" t="s">
        <v>140</v>
      </c>
      <c r="B120" s="2">
        <v>45045</v>
      </c>
      <c r="C120">
        <v>8799</v>
      </c>
    </row>
    <row r="121" spans="1:3" ht="14.25" customHeight="1" x14ac:dyDescent="0.3">
      <c r="A121" s="2" t="s">
        <v>141</v>
      </c>
      <c r="B121" s="2">
        <v>45046</v>
      </c>
      <c r="C121">
        <v>2138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21"/>
  <sheetViews>
    <sheetView topLeftCell="A102" zoomScaleNormal="100" workbookViewId="0">
      <selection activeCell="B1" sqref="B1"/>
    </sheetView>
  </sheetViews>
  <sheetFormatPr defaultColWidth="8.6640625" defaultRowHeight="14.4" x14ac:dyDescent="0.3"/>
  <cols>
    <col min="1" max="2" width="18.6640625" customWidth="1"/>
    <col min="3" max="3" width="14.6640625" customWidth="1"/>
  </cols>
  <sheetData>
    <row r="1" spans="1:3" s="1" customFormat="1" ht="14.25" customHeight="1" x14ac:dyDescent="0.3">
      <c r="A1" s="1" t="s">
        <v>21</v>
      </c>
      <c r="B1" s="1" t="s">
        <v>21</v>
      </c>
      <c r="C1" s="1" t="s">
        <v>142</v>
      </c>
    </row>
    <row r="2" spans="1:3" ht="14.25" customHeight="1" x14ac:dyDescent="0.3">
      <c r="A2" t="s">
        <v>22</v>
      </c>
      <c r="B2" s="5">
        <v>44927</v>
      </c>
      <c r="C2">
        <v>1314</v>
      </c>
    </row>
    <row r="3" spans="1:3" ht="14.25" customHeight="1" x14ac:dyDescent="0.3">
      <c r="A3" t="s">
        <v>23</v>
      </c>
      <c r="B3" s="5">
        <v>44928</v>
      </c>
      <c r="C3">
        <v>914</v>
      </c>
    </row>
    <row r="4" spans="1:3" ht="14.25" customHeight="1" x14ac:dyDescent="0.3">
      <c r="A4" t="s">
        <v>24</v>
      </c>
      <c r="B4" s="5">
        <v>44929</v>
      </c>
      <c r="C4">
        <v>870</v>
      </c>
    </row>
    <row r="5" spans="1:3" ht="14.25" customHeight="1" x14ac:dyDescent="0.3">
      <c r="A5" t="s">
        <v>25</v>
      </c>
      <c r="B5" s="5">
        <v>44930</v>
      </c>
      <c r="C5">
        <v>1154</v>
      </c>
    </row>
    <row r="6" spans="1:3" ht="14.25" customHeight="1" x14ac:dyDescent="0.3">
      <c r="A6" t="s">
        <v>26</v>
      </c>
      <c r="B6" s="5">
        <v>44931</v>
      </c>
      <c r="C6">
        <v>2363</v>
      </c>
    </row>
    <row r="7" spans="1:3" ht="14.25" customHeight="1" x14ac:dyDescent="0.3">
      <c r="A7" t="s">
        <v>27</v>
      </c>
      <c r="B7" s="5">
        <v>44932</v>
      </c>
      <c r="C7">
        <v>1828</v>
      </c>
    </row>
    <row r="8" spans="1:3" ht="14.25" customHeight="1" x14ac:dyDescent="0.3">
      <c r="A8" t="s">
        <v>28</v>
      </c>
      <c r="B8" s="5">
        <v>44933</v>
      </c>
      <c r="C8">
        <v>2249</v>
      </c>
    </row>
    <row r="9" spans="1:3" ht="14.25" customHeight="1" x14ac:dyDescent="0.3">
      <c r="A9" t="s">
        <v>29</v>
      </c>
      <c r="B9" s="5">
        <v>44934</v>
      </c>
      <c r="C9">
        <v>1850</v>
      </c>
    </row>
    <row r="10" spans="1:3" ht="14.25" customHeight="1" x14ac:dyDescent="0.3">
      <c r="A10" t="s">
        <v>30</v>
      </c>
      <c r="B10" s="5">
        <v>44935</v>
      </c>
      <c r="C10">
        <v>2414</v>
      </c>
    </row>
    <row r="11" spans="1:3" ht="14.25" customHeight="1" x14ac:dyDescent="0.3">
      <c r="A11" t="s">
        <v>31</v>
      </c>
      <c r="B11" s="5">
        <v>44936</v>
      </c>
      <c r="C11">
        <v>2800</v>
      </c>
    </row>
    <row r="12" spans="1:3" ht="14.25" customHeight="1" x14ac:dyDescent="0.3">
      <c r="A12" t="s">
        <v>32</v>
      </c>
      <c r="B12" s="5">
        <v>44937</v>
      </c>
      <c r="C12">
        <v>1782</v>
      </c>
    </row>
    <row r="13" spans="1:3" ht="14.25" customHeight="1" x14ac:dyDescent="0.3">
      <c r="A13" t="s">
        <v>33</v>
      </c>
      <c r="B13" s="5">
        <v>44938</v>
      </c>
      <c r="C13">
        <v>1154</v>
      </c>
    </row>
    <row r="14" spans="1:3" ht="14.25" customHeight="1" x14ac:dyDescent="0.3">
      <c r="A14" t="s">
        <v>34</v>
      </c>
      <c r="B14" s="5">
        <v>44939</v>
      </c>
      <c r="C14">
        <v>971</v>
      </c>
    </row>
    <row r="15" spans="1:3" ht="14.25" customHeight="1" x14ac:dyDescent="0.3">
      <c r="A15" t="s">
        <v>35</v>
      </c>
      <c r="B15" s="5">
        <v>44940</v>
      </c>
      <c r="C15">
        <v>873</v>
      </c>
    </row>
    <row r="16" spans="1:3" ht="14.25" customHeight="1" x14ac:dyDescent="0.3">
      <c r="A16" t="s">
        <v>36</v>
      </c>
      <c r="B16" s="5">
        <v>44941</v>
      </c>
      <c r="C16">
        <v>2369</v>
      </c>
    </row>
    <row r="17" spans="1:3" ht="14.25" customHeight="1" x14ac:dyDescent="0.3">
      <c r="A17" t="s">
        <v>37</v>
      </c>
      <c r="B17" s="5">
        <v>44942</v>
      </c>
      <c r="C17">
        <v>3527</v>
      </c>
    </row>
    <row r="18" spans="1:3" ht="14.25" customHeight="1" x14ac:dyDescent="0.3">
      <c r="A18" t="s">
        <v>38</v>
      </c>
      <c r="B18" s="5">
        <v>44943</v>
      </c>
      <c r="C18">
        <v>2291</v>
      </c>
    </row>
    <row r="19" spans="1:3" ht="14.25" customHeight="1" x14ac:dyDescent="0.3">
      <c r="A19" t="s">
        <v>39</v>
      </c>
      <c r="B19" s="5">
        <v>44944</v>
      </c>
      <c r="C19">
        <v>2068</v>
      </c>
    </row>
    <row r="20" spans="1:3" ht="14.25" customHeight="1" x14ac:dyDescent="0.3">
      <c r="A20" t="s">
        <v>40</v>
      </c>
      <c r="B20" s="5">
        <v>44945</v>
      </c>
      <c r="C20">
        <v>1617</v>
      </c>
    </row>
    <row r="21" spans="1:3" ht="14.25" customHeight="1" x14ac:dyDescent="0.3">
      <c r="A21" t="s">
        <v>41</v>
      </c>
      <c r="B21" s="5">
        <v>44946</v>
      </c>
      <c r="C21">
        <v>1655</v>
      </c>
    </row>
    <row r="22" spans="1:3" ht="14.25" customHeight="1" x14ac:dyDescent="0.3">
      <c r="A22" t="s">
        <v>42</v>
      </c>
      <c r="B22" s="5">
        <v>44947</v>
      </c>
      <c r="C22">
        <v>1514</v>
      </c>
    </row>
    <row r="23" spans="1:3" ht="14.25" customHeight="1" x14ac:dyDescent="0.3">
      <c r="A23" t="s">
        <v>43</v>
      </c>
      <c r="B23" s="5">
        <v>44948</v>
      </c>
      <c r="C23">
        <v>1400</v>
      </c>
    </row>
    <row r="24" spans="1:3" ht="14.25" customHeight="1" x14ac:dyDescent="0.3">
      <c r="A24" t="s">
        <v>44</v>
      </c>
      <c r="B24" s="5">
        <v>44949</v>
      </c>
      <c r="C24">
        <v>2057</v>
      </c>
    </row>
    <row r="25" spans="1:3" ht="14.25" customHeight="1" x14ac:dyDescent="0.3">
      <c r="A25" t="s">
        <v>45</v>
      </c>
      <c r="B25" s="5">
        <v>44950</v>
      </c>
      <c r="C25">
        <v>1885</v>
      </c>
    </row>
    <row r="26" spans="1:3" ht="14.25" customHeight="1" x14ac:dyDescent="0.3">
      <c r="A26" t="s">
        <v>46</v>
      </c>
      <c r="B26" s="5">
        <v>44951</v>
      </c>
      <c r="C26">
        <v>2313</v>
      </c>
    </row>
    <row r="27" spans="1:3" ht="14.25" customHeight="1" x14ac:dyDescent="0.3">
      <c r="A27" t="s">
        <v>47</v>
      </c>
      <c r="B27" s="5">
        <v>44952</v>
      </c>
      <c r="C27">
        <v>2925</v>
      </c>
    </row>
    <row r="28" spans="1:3" ht="14.25" customHeight="1" x14ac:dyDescent="0.3">
      <c r="A28" t="s">
        <v>48</v>
      </c>
      <c r="B28" s="5">
        <v>44953</v>
      </c>
      <c r="C28">
        <v>2130</v>
      </c>
    </row>
    <row r="29" spans="1:3" ht="14.25" customHeight="1" x14ac:dyDescent="0.3">
      <c r="A29" t="s">
        <v>49</v>
      </c>
      <c r="B29" s="5">
        <v>44954</v>
      </c>
      <c r="C29">
        <v>2216</v>
      </c>
    </row>
    <row r="30" spans="1:3" ht="14.25" customHeight="1" x14ac:dyDescent="0.3">
      <c r="A30" t="s">
        <v>50</v>
      </c>
      <c r="B30" s="5">
        <v>44955</v>
      </c>
      <c r="C30">
        <v>2199</v>
      </c>
    </row>
    <row r="31" spans="1:3" ht="14.25" customHeight="1" x14ac:dyDescent="0.3">
      <c r="A31" t="s">
        <v>51</v>
      </c>
      <c r="B31" s="5">
        <v>44956</v>
      </c>
      <c r="C31">
        <v>1977</v>
      </c>
    </row>
    <row r="32" spans="1:3" ht="14.25" customHeight="1" x14ac:dyDescent="0.3">
      <c r="A32" t="s">
        <v>52</v>
      </c>
      <c r="B32" s="5">
        <v>44957</v>
      </c>
      <c r="C32">
        <v>1698</v>
      </c>
    </row>
    <row r="33" spans="1:3" ht="14.25" customHeight="1" x14ac:dyDescent="0.3">
      <c r="A33" t="s">
        <v>53</v>
      </c>
      <c r="B33" s="5">
        <v>44958</v>
      </c>
      <c r="C33">
        <v>1823</v>
      </c>
    </row>
    <row r="34" spans="1:3" ht="14.25" customHeight="1" x14ac:dyDescent="0.3">
      <c r="A34" t="s">
        <v>54</v>
      </c>
      <c r="B34" s="5">
        <v>44959</v>
      </c>
      <c r="C34">
        <v>2859</v>
      </c>
    </row>
    <row r="35" spans="1:3" ht="14.25" customHeight="1" x14ac:dyDescent="0.3">
      <c r="A35" t="s">
        <v>55</v>
      </c>
      <c r="B35" s="5">
        <v>44960</v>
      </c>
      <c r="C35">
        <v>1892</v>
      </c>
    </row>
    <row r="36" spans="1:3" ht="14.25" customHeight="1" x14ac:dyDescent="0.3">
      <c r="A36" t="s">
        <v>56</v>
      </c>
      <c r="B36" s="5">
        <v>44961</v>
      </c>
      <c r="C36">
        <v>2264</v>
      </c>
    </row>
    <row r="37" spans="1:3" ht="14.25" customHeight="1" x14ac:dyDescent="0.3">
      <c r="A37" t="s">
        <v>57</v>
      </c>
      <c r="B37" s="5">
        <v>44962</v>
      </c>
      <c r="C37">
        <v>1307</v>
      </c>
    </row>
    <row r="38" spans="1:3" ht="14.25" customHeight="1" x14ac:dyDescent="0.3">
      <c r="A38" t="s">
        <v>58</v>
      </c>
      <c r="B38" s="5">
        <v>44963</v>
      </c>
      <c r="C38">
        <v>1073</v>
      </c>
    </row>
    <row r="39" spans="1:3" ht="14.25" customHeight="1" x14ac:dyDescent="0.3">
      <c r="A39" t="s">
        <v>59</v>
      </c>
      <c r="B39" s="5">
        <v>44964</v>
      </c>
      <c r="C39">
        <v>1299</v>
      </c>
    </row>
    <row r="40" spans="1:3" ht="14.25" customHeight="1" x14ac:dyDescent="0.3">
      <c r="A40" t="s">
        <v>60</v>
      </c>
      <c r="B40" s="5">
        <v>44965</v>
      </c>
      <c r="C40">
        <v>1074</v>
      </c>
    </row>
    <row r="41" spans="1:3" ht="14.25" customHeight="1" x14ac:dyDescent="0.3">
      <c r="A41" t="s">
        <v>61</v>
      </c>
      <c r="B41" s="5">
        <v>44966</v>
      </c>
      <c r="C41">
        <v>926</v>
      </c>
    </row>
    <row r="42" spans="1:3" ht="14.25" customHeight="1" x14ac:dyDescent="0.3">
      <c r="A42" t="s">
        <v>62</v>
      </c>
      <c r="B42" s="5">
        <v>44967</v>
      </c>
      <c r="C42">
        <v>890</v>
      </c>
    </row>
    <row r="43" spans="1:3" ht="14.25" customHeight="1" x14ac:dyDescent="0.3">
      <c r="A43" t="s">
        <v>63</v>
      </c>
      <c r="B43" s="5">
        <v>44968</v>
      </c>
      <c r="C43">
        <v>892</v>
      </c>
    </row>
    <row r="44" spans="1:3" ht="14.25" customHeight="1" x14ac:dyDescent="0.3">
      <c r="A44" t="s">
        <v>64</v>
      </c>
      <c r="B44" s="5">
        <v>44969</v>
      </c>
      <c r="C44">
        <v>1121</v>
      </c>
    </row>
    <row r="45" spans="1:3" ht="14.25" customHeight="1" x14ac:dyDescent="0.3">
      <c r="A45" t="s">
        <v>65</v>
      </c>
      <c r="B45" s="5">
        <v>44970</v>
      </c>
      <c r="C45">
        <v>1322</v>
      </c>
    </row>
    <row r="46" spans="1:3" ht="14.25" customHeight="1" x14ac:dyDescent="0.3">
      <c r="A46" t="s">
        <v>66</v>
      </c>
      <c r="B46" s="5">
        <v>44971</v>
      </c>
      <c r="C46">
        <v>1448</v>
      </c>
    </row>
    <row r="47" spans="1:3" ht="14.25" customHeight="1" x14ac:dyDescent="0.3">
      <c r="A47" t="s">
        <v>67</v>
      </c>
      <c r="B47" s="5">
        <v>44972</v>
      </c>
      <c r="C47">
        <v>2085</v>
      </c>
    </row>
    <row r="48" spans="1:3" ht="14.25" customHeight="1" x14ac:dyDescent="0.3">
      <c r="A48" t="s">
        <v>68</v>
      </c>
      <c r="B48" s="5">
        <v>44973</v>
      </c>
      <c r="C48">
        <v>1597</v>
      </c>
    </row>
    <row r="49" spans="1:3" ht="14.25" customHeight="1" x14ac:dyDescent="0.3">
      <c r="A49" t="s">
        <v>69</v>
      </c>
      <c r="B49" s="5">
        <v>44974</v>
      </c>
      <c r="C49">
        <v>1539</v>
      </c>
    </row>
    <row r="50" spans="1:3" ht="14.25" customHeight="1" x14ac:dyDescent="0.3">
      <c r="A50" t="s">
        <v>70</v>
      </c>
      <c r="B50" s="5">
        <v>44975</v>
      </c>
      <c r="C50">
        <v>1617</v>
      </c>
    </row>
    <row r="51" spans="1:3" ht="14.25" customHeight="1" x14ac:dyDescent="0.3">
      <c r="A51" t="s">
        <v>71</v>
      </c>
      <c r="B51" s="5">
        <v>44976</v>
      </c>
      <c r="C51">
        <v>1837</v>
      </c>
    </row>
    <row r="52" spans="1:3" ht="14.25" customHeight="1" x14ac:dyDescent="0.3">
      <c r="A52" t="s">
        <v>72</v>
      </c>
      <c r="B52" s="5">
        <v>44977</v>
      </c>
      <c r="C52">
        <v>2392</v>
      </c>
    </row>
    <row r="53" spans="1:3" ht="14.25" customHeight="1" x14ac:dyDescent="0.3">
      <c r="A53" t="s">
        <v>73</v>
      </c>
      <c r="B53" s="5">
        <v>44978</v>
      </c>
      <c r="C53">
        <v>3230</v>
      </c>
    </row>
    <row r="54" spans="1:3" ht="14.25" customHeight="1" x14ac:dyDescent="0.3">
      <c r="A54" t="s">
        <v>74</v>
      </c>
      <c r="B54" s="5">
        <v>44979</v>
      </c>
      <c r="C54">
        <v>2700</v>
      </c>
    </row>
    <row r="55" spans="1:3" ht="14.25" customHeight="1" x14ac:dyDescent="0.3">
      <c r="A55" t="s">
        <v>75</v>
      </c>
      <c r="B55" s="5">
        <v>44980</v>
      </c>
      <c r="C55">
        <v>2634</v>
      </c>
    </row>
    <row r="56" spans="1:3" ht="14.25" customHeight="1" x14ac:dyDescent="0.3">
      <c r="A56" t="s">
        <v>76</v>
      </c>
      <c r="B56" s="5">
        <v>44981</v>
      </c>
      <c r="C56">
        <v>2332</v>
      </c>
    </row>
    <row r="57" spans="1:3" ht="14.25" customHeight="1" x14ac:dyDescent="0.3">
      <c r="A57" t="s">
        <v>77</v>
      </c>
      <c r="B57" s="5">
        <v>44982</v>
      </c>
      <c r="C57">
        <v>2800</v>
      </c>
    </row>
    <row r="58" spans="1:3" ht="14.25" customHeight="1" x14ac:dyDescent="0.3">
      <c r="A58" t="s">
        <v>78</v>
      </c>
      <c r="B58" s="5">
        <v>44983</v>
      </c>
      <c r="C58">
        <v>2424</v>
      </c>
    </row>
    <row r="59" spans="1:3" ht="14.25" customHeight="1" x14ac:dyDescent="0.3">
      <c r="A59" t="s">
        <v>79</v>
      </c>
      <c r="B59" s="5">
        <v>44984</v>
      </c>
      <c r="C59">
        <v>2667</v>
      </c>
    </row>
    <row r="60" spans="1:3" ht="14.25" customHeight="1" x14ac:dyDescent="0.3">
      <c r="A60" t="s">
        <v>80</v>
      </c>
      <c r="B60" s="5">
        <v>44985</v>
      </c>
      <c r="C60">
        <v>3150</v>
      </c>
    </row>
    <row r="61" spans="1:3" ht="14.25" customHeight="1" x14ac:dyDescent="0.3">
      <c r="A61" t="s">
        <v>81</v>
      </c>
      <c r="B61" s="5">
        <v>44986</v>
      </c>
      <c r="C61">
        <v>2761</v>
      </c>
    </row>
    <row r="62" spans="1:3" ht="14.25" customHeight="1" x14ac:dyDescent="0.3">
      <c r="A62" t="s">
        <v>82</v>
      </c>
      <c r="B62" s="5">
        <v>44987</v>
      </c>
      <c r="C62">
        <v>2685</v>
      </c>
    </row>
    <row r="63" spans="1:3" ht="14.25" customHeight="1" x14ac:dyDescent="0.3">
      <c r="A63" t="s">
        <v>83</v>
      </c>
      <c r="B63" s="5">
        <v>44988</v>
      </c>
      <c r="C63">
        <v>2711</v>
      </c>
    </row>
    <row r="64" spans="1:3" ht="14.25" customHeight="1" x14ac:dyDescent="0.3">
      <c r="A64" t="s">
        <v>84</v>
      </c>
      <c r="B64" s="5">
        <v>44989</v>
      </c>
      <c r="C64">
        <v>3245</v>
      </c>
    </row>
    <row r="65" spans="1:3" ht="14.25" customHeight="1" x14ac:dyDescent="0.3">
      <c r="A65" t="s">
        <v>85</v>
      </c>
      <c r="B65" s="5">
        <v>44990</v>
      </c>
      <c r="C65">
        <v>2207</v>
      </c>
    </row>
    <row r="66" spans="1:3" ht="14.25" customHeight="1" x14ac:dyDescent="0.3">
      <c r="A66" t="s">
        <v>86</v>
      </c>
      <c r="B66" s="5">
        <v>44991</v>
      </c>
      <c r="C66">
        <v>17</v>
      </c>
    </row>
    <row r="67" spans="1:3" s="4" customFormat="1" ht="14.25" customHeight="1" x14ac:dyDescent="0.3">
      <c r="A67" s="4" t="s">
        <v>87</v>
      </c>
      <c r="B67" s="5">
        <v>44992</v>
      </c>
      <c r="C67" s="4">
        <v>8</v>
      </c>
    </row>
    <row r="68" spans="1:3" s="4" customFormat="1" ht="14.25" customHeight="1" x14ac:dyDescent="0.3">
      <c r="A68" s="4" t="s">
        <v>88</v>
      </c>
      <c r="B68" s="5">
        <v>44993</v>
      </c>
      <c r="C68" s="4">
        <v>4</v>
      </c>
    </row>
    <row r="69" spans="1:3" ht="14.25" customHeight="1" x14ac:dyDescent="0.3">
      <c r="A69" t="s">
        <v>89</v>
      </c>
      <c r="B69" s="5">
        <v>44994</v>
      </c>
      <c r="C69">
        <v>2637</v>
      </c>
    </row>
    <row r="70" spans="1:3" ht="14.25" customHeight="1" x14ac:dyDescent="0.3">
      <c r="A70" t="s">
        <v>90</v>
      </c>
      <c r="B70" s="5">
        <v>44995</v>
      </c>
      <c r="C70">
        <v>3386</v>
      </c>
    </row>
    <row r="71" spans="1:3" ht="14.25" customHeight="1" x14ac:dyDescent="0.3">
      <c r="A71" t="s">
        <v>91</v>
      </c>
      <c r="B71" s="5">
        <v>44996</v>
      </c>
      <c r="C71">
        <v>3081</v>
      </c>
    </row>
    <row r="72" spans="1:3" ht="14.25" customHeight="1" x14ac:dyDescent="0.3">
      <c r="A72" t="s">
        <v>92</v>
      </c>
      <c r="B72" s="5">
        <v>44997</v>
      </c>
      <c r="C72">
        <v>2152</v>
      </c>
    </row>
    <row r="73" spans="1:3" ht="14.25" customHeight="1" x14ac:dyDescent="0.3">
      <c r="A73" t="s">
        <v>93</v>
      </c>
      <c r="B73" s="5">
        <v>44998</v>
      </c>
      <c r="C73">
        <v>153</v>
      </c>
    </row>
    <row r="74" spans="1:3" ht="14.25" customHeight="1" x14ac:dyDescent="0.3">
      <c r="A74" t="s">
        <v>94</v>
      </c>
      <c r="B74" s="5">
        <v>44999</v>
      </c>
      <c r="C74">
        <v>813</v>
      </c>
    </row>
    <row r="75" spans="1:3" ht="14.25" customHeight="1" x14ac:dyDescent="0.3">
      <c r="A75" t="s">
        <v>95</v>
      </c>
      <c r="B75" s="5">
        <v>45000</v>
      </c>
      <c r="C75">
        <v>273</v>
      </c>
    </row>
    <row r="76" spans="1:3" ht="14.25" customHeight="1" x14ac:dyDescent="0.3">
      <c r="A76" t="s">
        <v>96</v>
      </c>
      <c r="B76" s="5">
        <v>45001</v>
      </c>
      <c r="C76">
        <v>186</v>
      </c>
    </row>
    <row r="77" spans="1:3" ht="14.25" customHeight="1" x14ac:dyDescent="0.3">
      <c r="A77" t="s">
        <v>97</v>
      </c>
      <c r="B77" s="5">
        <v>45002</v>
      </c>
      <c r="C77">
        <v>155</v>
      </c>
    </row>
    <row r="78" spans="1:3" ht="14.25" customHeight="1" x14ac:dyDescent="0.3">
      <c r="A78" t="s">
        <v>98</v>
      </c>
      <c r="B78" s="5">
        <v>45003</v>
      </c>
      <c r="C78">
        <v>158</v>
      </c>
    </row>
    <row r="79" spans="1:3" ht="14.25" customHeight="1" x14ac:dyDescent="0.3">
      <c r="A79" t="s">
        <v>99</v>
      </c>
      <c r="B79" s="5">
        <v>45004</v>
      </c>
      <c r="C79">
        <v>137</v>
      </c>
    </row>
    <row r="80" spans="1:3" ht="14.25" customHeight="1" x14ac:dyDescent="0.3">
      <c r="A80" t="s">
        <v>100</v>
      </c>
      <c r="B80" s="5">
        <v>45005</v>
      </c>
      <c r="C80">
        <v>165</v>
      </c>
    </row>
    <row r="81" spans="1:3" ht="14.25" customHeight="1" x14ac:dyDescent="0.3">
      <c r="A81" t="s">
        <v>101</v>
      </c>
      <c r="B81" s="5">
        <v>45006</v>
      </c>
      <c r="C81">
        <v>214</v>
      </c>
    </row>
    <row r="82" spans="1:3" ht="14.25" customHeight="1" x14ac:dyDescent="0.3">
      <c r="A82" t="s">
        <v>102</v>
      </c>
      <c r="B82" s="5">
        <v>45007</v>
      </c>
      <c r="C82">
        <v>435</v>
      </c>
    </row>
    <row r="83" spans="1:3" ht="14.25" customHeight="1" x14ac:dyDescent="0.3">
      <c r="A83" t="s">
        <v>103</v>
      </c>
      <c r="B83" s="5">
        <v>45008</v>
      </c>
      <c r="C83">
        <v>261</v>
      </c>
    </row>
    <row r="84" spans="1:3" ht="14.25" customHeight="1" x14ac:dyDescent="0.3">
      <c r="A84" t="s">
        <v>104</v>
      </c>
      <c r="B84" s="5">
        <v>45009</v>
      </c>
      <c r="C84">
        <v>604</v>
      </c>
    </row>
    <row r="85" spans="1:3" ht="14.25" customHeight="1" x14ac:dyDescent="0.3">
      <c r="A85" t="s">
        <v>105</v>
      </c>
      <c r="B85" s="5">
        <v>45010</v>
      </c>
      <c r="C85">
        <v>866</v>
      </c>
    </row>
    <row r="86" spans="1:3" ht="14.25" customHeight="1" x14ac:dyDescent="0.3">
      <c r="A86" t="s">
        <v>106</v>
      </c>
      <c r="B86" s="5">
        <v>45011</v>
      </c>
      <c r="C86">
        <v>950</v>
      </c>
    </row>
    <row r="87" spans="1:3" ht="14.25" customHeight="1" x14ac:dyDescent="0.3">
      <c r="A87" t="s">
        <v>107</v>
      </c>
      <c r="B87" s="5">
        <v>45012</v>
      </c>
      <c r="C87">
        <v>760</v>
      </c>
    </row>
    <row r="88" spans="1:3" ht="14.25" customHeight="1" x14ac:dyDescent="0.3">
      <c r="A88" t="s">
        <v>108</v>
      </c>
      <c r="B88" s="5">
        <v>45013</v>
      </c>
      <c r="C88">
        <v>690</v>
      </c>
    </row>
    <row r="89" spans="1:3" ht="14.25" customHeight="1" x14ac:dyDescent="0.3">
      <c r="A89" t="s">
        <v>109</v>
      </c>
      <c r="B89" s="5">
        <v>45014</v>
      </c>
      <c r="C89">
        <v>1054</v>
      </c>
    </row>
    <row r="90" spans="1:3" ht="14.25" customHeight="1" x14ac:dyDescent="0.3">
      <c r="A90" t="s">
        <v>110</v>
      </c>
      <c r="B90" s="5">
        <v>45015</v>
      </c>
      <c r="C90">
        <v>737</v>
      </c>
    </row>
    <row r="91" spans="1:3" ht="14.25" customHeight="1" x14ac:dyDescent="0.3">
      <c r="A91" t="s">
        <v>111</v>
      </c>
      <c r="B91" s="5">
        <v>45016</v>
      </c>
      <c r="C91">
        <v>678</v>
      </c>
    </row>
    <row r="92" spans="1:3" ht="14.25" customHeight="1" x14ac:dyDescent="0.3">
      <c r="A92" t="s">
        <v>112</v>
      </c>
      <c r="B92" s="5">
        <v>45017</v>
      </c>
      <c r="C92">
        <v>544</v>
      </c>
    </row>
    <row r="93" spans="1:3" ht="14.25" customHeight="1" x14ac:dyDescent="0.3">
      <c r="A93" t="s">
        <v>113</v>
      </c>
      <c r="B93" s="5">
        <v>45018</v>
      </c>
      <c r="C93">
        <v>509</v>
      </c>
    </row>
    <row r="94" spans="1:3" ht="14.25" customHeight="1" x14ac:dyDescent="0.3">
      <c r="A94" t="s">
        <v>114</v>
      </c>
      <c r="B94" s="5">
        <v>45019</v>
      </c>
      <c r="C94">
        <v>837</v>
      </c>
    </row>
    <row r="95" spans="1:3" ht="14.25" customHeight="1" x14ac:dyDescent="0.3">
      <c r="A95" t="s">
        <v>115</v>
      </c>
      <c r="B95" s="5">
        <v>45020</v>
      </c>
      <c r="C95">
        <v>1537</v>
      </c>
    </row>
    <row r="96" spans="1:3" ht="14.25" customHeight="1" x14ac:dyDescent="0.3">
      <c r="A96" t="s">
        <v>116</v>
      </c>
      <c r="B96" s="5">
        <v>45021</v>
      </c>
      <c r="C96">
        <v>770</v>
      </c>
    </row>
    <row r="97" spans="1:3" ht="14.25" customHeight="1" x14ac:dyDescent="0.3">
      <c r="A97" t="s">
        <v>117</v>
      </c>
      <c r="B97" s="5">
        <v>45022</v>
      </c>
      <c r="C97">
        <v>450</v>
      </c>
    </row>
    <row r="98" spans="1:3" ht="14.25" customHeight="1" x14ac:dyDescent="0.3">
      <c r="A98" t="s">
        <v>118</v>
      </c>
      <c r="B98" s="5">
        <v>45023</v>
      </c>
      <c r="C98">
        <v>1152</v>
      </c>
    </row>
    <row r="99" spans="1:3" ht="14.25" customHeight="1" x14ac:dyDescent="0.3">
      <c r="A99" t="s">
        <v>119</v>
      </c>
      <c r="B99" s="5">
        <v>45024</v>
      </c>
      <c r="C99">
        <v>1043</v>
      </c>
    </row>
    <row r="100" spans="1:3" ht="14.25" customHeight="1" x14ac:dyDescent="0.3">
      <c r="A100" t="s">
        <v>120</v>
      </c>
      <c r="B100" s="5">
        <v>45025</v>
      </c>
      <c r="C100">
        <v>1147</v>
      </c>
    </row>
    <row r="101" spans="1:3" ht="14.25" customHeight="1" x14ac:dyDescent="0.3">
      <c r="A101" t="s">
        <v>121</v>
      </c>
      <c r="B101" s="5">
        <v>45026</v>
      </c>
      <c r="C101">
        <v>689</v>
      </c>
    </row>
    <row r="102" spans="1:3" ht="14.25" customHeight="1" x14ac:dyDescent="0.3">
      <c r="A102" t="s">
        <v>122</v>
      </c>
      <c r="B102" s="5">
        <v>45027</v>
      </c>
      <c r="C102">
        <v>1058</v>
      </c>
    </row>
    <row r="103" spans="1:3" ht="14.25" customHeight="1" x14ac:dyDescent="0.3">
      <c r="A103" t="s">
        <v>123</v>
      </c>
      <c r="B103" s="5">
        <v>45028</v>
      </c>
      <c r="C103">
        <v>1164</v>
      </c>
    </row>
    <row r="104" spans="1:3" ht="14.25" customHeight="1" x14ac:dyDescent="0.3">
      <c r="A104" t="s">
        <v>124</v>
      </c>
      <c r="B104" s="5">
        <v>45029</v>
      </c>
      <c r="C104">
        <v>604</v>
      </c>
    </row>
    <row r="105" spans="1:3" ht="14.25" customHeight="1" x14ac:dyDescent="0.3">
      <c r="A105" t="s">
        <v>125</v>
      </c>
      <c r="B105" s="5">
        <v>45030</v>
      </c>
      <c r="C105">
        <v>801</v>
      </c>
    </row>
    <row r="106" spans="1:3" ht="14.25" customHeight="1" x14ac:dyDescent="0.3">
      <c r="A106" t="s">
        <v>126</v>
      </c>
      <c r="B106" s="5">
        <v>45031</v>
      </c>
      <c r="C106">
        <v>810</v>
      </c>
    </row>
    <row r="107" spans="1:3" ht="14.25" customHeight="1" x14ac:dyDescent="0.3">
      <c r="A107" t="s">
        <v>127</v>
      </c>
      <c r="B107" s="5">
        <v>45032</v>
      </c>
      <c r="C107">
        <v>3067</v>
      </c>
    </row>
    <row r="108" spans="1:3" ht="14.25" customHeight="1" x14ac:dyDescent="0.3">
      <c r="A108" t="s">
        <v>128</v>
      </c>
      <c r="B108" s="5">
        <v>45033</v>
      </c>
      <c r="C108">
        <v>3230</v>
      </c>
    </row>
    <row r="109" spans="1:3" ht="14.25" customHeight="1" x14ac:dyDescent="0.3">
      <c r="A109" t="s">
        <v>129</v>
      </c>
      <c r="B109" s="5">
        <v>45034</v>
      </c>
      <c r="C109">
        <v>3488</v>
      </c>
    </row>
    <row r="110" spans="1:3" ht="14.25" customHeight="1" x14ac:dyDescent="0.3">
      <c r="A110" t="s">
        <v>130</v>
      </c>
      <c r="B110" s="5">
        <v>45035</v>
      </c>
      <c r="C110">
        <v>1974</v>
      </c>
    </row>
    <row r="111" spans="1:3" ht="14.25" customHeight="1" x14ac:dyDescent="0.3">
      <c r="A111" t="s">
        <v>131</v>
      </c>
      <c r="B111" s="5">
        <v>45036</v>
      </c>
      <c r="C111">
        <v>4032</v>
      </c>
    </row>
    <row r="112" spans="1:3" ht="14.25" customHeight="1" x14ac:dyDescent="0.3">
      <c r="A112" t="s">
        <v>132</v>
      </c>
      <c r="B112" s="5">
        <v>45037</v>
      </c>
      <c r="C112">
        <v>2237</v>
      </c>
    </row>
    <row r="113" spans="1:3" ht="14.25" customHeight="1" x14ac:dyDescent="0.3">
      <c r="A113" t="s">
        <v>133</v>
      </c>
      <c r="B113" s="5">
        <v>45038</v>
      </c>
      <c r="C113">
        <v>1852</v>
      </c>
    </row>
    <row r="114" spans="1:3" ht="14.25" customHeight="1" x14ac:dyDescent="0.3">
      <c r="A114" t="s">
        <v>134</v>
      </c>
      <c r="B114" s="5">
        <v>45039</v>
      </c>
      <c r="C114">
        <v>1637</v>
      </c>
    </row>
    <row r="115" spans="1:3" ht="14.25" customHeight="1" x14ac:dyDescent="0.3">
      <c r="A115" t="s">
        <v>135</v>
      </c>
      <c r="B115" s="5">
        <v>45040</v>
      </c>
      <c r="C115">
        <v>1772</v>
      </c>
    </row>
    <row r="116" spans="1:3" ht="14.25" customHeight="1" x14ac:dyDescent="0.3">
      <c r="A116" t="s">
        <v>136</v>
      </c>
      <c r="B116" s="5">
        <v>45041</v>
      </c>
      <c r="C116">
        <v>2243</v>
      </c>
    </row>
    <row r="117" spans="1:3" ht="14.25" customHeight="1" x14ac:dyDescent="0.3">
      <c r="A117" t="s">
        <v>137</v>
      </c>
      <c r="B117" s="5">
        <v>45042</v>
      </c>
      <c r="C117">
        <v>1646</v>
      </c>
    </row>
    <row r="118" spans="1:3" ht="14.25" customHeight="1" x14ac:dyDescent="0.3">
      <c r="A118" t="s">
        <v>138</v>
      </c>
      <c r="B118" s="5">
        <v>45043</v>
      </c>
      <c r="C118">
        <v>1280</v>
      </c>
    </row>
    <row r="119" spans="1:3" ht="14.25" customHeight="1" x14ac:dyDescent="0.3">
      <c r="A119" t="s">
        <v>139</v>
      </c>
      <c r="B119" s="5">
        <v>45044</v>
      </c>
      <c r="C119">
        <v>1946</v>
      </c>
    </row>
    <row r="120" spans="1:3" ht="14.25" customHeight="1" x14ac:dyDescent="0.3">
      <c r="A120" t="s">
        <v>140</v>
      </c>
      <c r="B120" s="5">
        <v>45045</v>
      </c>
      <c r="C120">
        <v>1288</v>
      </c>
    </row>
    <row r="121" spans="1:3" ht="14.25" customHeight="1" x14ac:dyDescent="0.3">
      <c r="A121" t="s">
        <v>141</v>
      </c>
      <c r="B121" s="5">
        <v>45046</v>
      </c>
      <c r="C121">
        <v>476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M89"/>
  <sheetViews>
    <sheetView zoomScaleNormal="100" workbookViewId="0">
      <selection activeCell="I97" sqref="I97"/>
    </sheetView>
  </sheetViews>
  <sheetFormatPr defaultColWidth="8.6640625" defaultRowHeight="14.4" x14ac:dyDescent="0.3"/>
  <cols>
    <col min="1" max="1" width="12.77734375" customWidth="1"/>
    <col min="2" max="2" width="24.44140625" bestFit="1" customWidth="1"/>
    <col min="3" max="3" width="14.33203125" customWidth="1"/>
    <col min="4" max="4" width="16.5546875" bestFit="1" customWidth="1"/>
    <col min="5" max="5" width="17.77734375" customWidth="1"/>
    <col min="6" max="7" width="10.44140625" customWidth="1"/>
    <col min="8" max="8" width="15.33203125" customWidth="1"/>
    <col min="9" max="9" width="23.33203125" customWidth="1"/>
    <col min="10" max="10" width="23" customWidth="1"/>
    <col min="11" max="11" width="22.44140625" customWidth="1"/>
    <col min="12" max="12" width="22.6640625" customWidth="1"/>
    <col min="13" max="13" width="24.88671875" customWidth="1"/>
    <col min="14" max="98" width="5" customWidth="1"/>
    <col min="99" max="123" width="6" customWidth="1"/>
    <col min="124" max="124" width="11" customWidth="1"/>
  </cols>
  <sheetData>
    <row r="3" spans="1:13" ht="14.25" customHeight="1" x14ac:dyDescent="0.3">
      <c r="B3" s="14" t="s">
        <v>148</v>
      </c>
    </row>
    <row r="4" spans="1:13" ht="14.25" customHeight="1" x14ac:dyDescent="0.3">
      <c r="A4" s="18" t="s">
        <v>149</v>
      </c>
      <c r="B4" s="9" t="s">
        <v>6</v>
      </c>
      <c r="C4" s="9" t="s">
        <v>7</v>
      </c>
      <c r="D4" s="9" t="s">
        <v>8</v>
      </c>
      <c r="E4" s="9" t="s">
        <v>9</v>
      </c>
      <c r="F4" s="9" t="s">
        <v>10</v>
      </c>
      <c r="G4" s="7"/>
      <c r="H4" s="6" t="s">
        <v>0</v>
      </c>
      <c r="I4" s="6" t="s">
        <v>1</v>
      </c>
      <c r="J4" s="6" t="s">
        <v>2</v>
      </c>
      <c r="K4" s="6" t="s">
        <v>3</v>
      </c>
      <c r="L4" s="6" t="s">
        <v>4</v>
      </c>
      <c r="M4" s="6" t="s">
        <v>5</v>
      </c>
    </row>
    <row r="5" spans="1:13" ht="14.25" customHeight="1" x14ac:dyDescent="0.3">
      <c r="A5" s="19" t="s">
        <v>11</v>
      </c>
      <c r="B5" s="20">
        <v>211093</v>
      </c>
      <c r="C5" s="20">
        <v>58377</v>
      </c>
      <c r="D5" s="20">
        <v>1219</v>
      </c>
      <c r="E5" s="20">
        <v>949</v>
      </c>
      <c r="F5" s="17">
        <v>1012.55</v>
      </c>
      <c r="G5" s="7"/>
      <c r="H5" s="8" t="s">
        <v>11</v>
      </c>
      <c r="I5" s="9"/>
      <c r="J5" s="9"/>
      <c r="K5" s="9"/>
      <c r="L5" s="9"/>
      <c r="M5" s="9"/>
    </row>
    <row r="6" spans="1:13" ht="14.25" customHeight="1" x14ac:dyDescent="0.3">
      <c r="A6" s="19" t="s">
        <v>12</v>
      </c>
      <c r="B6" s="20">
        <v>250753</v>
      </c>
      <c r="C6" s="20">
        <v>53194</v>
      </c>
      <c r="D6" s="20">
        <v>962</v>
      </c>
      <c r="E6" s="20">
        <v>806</v>
      </c>
      <c r="F6" s="17">
        <v>1383.2600000000004</v>
      </c>
      <c r="G6" s="7"/>
      <c r="H6" s="8" t="s">
        <v>12</v>
      </c>
      <c r="I6" s="10">
        <f>(GETPIVOTDATA("FB_Page_Reach",$A$3,"Months (Date)",2)-GETPIVOTDATA("FB_Page_Reach",$A$3,"Months (Date)",1))/GETPIVOTDATA("FB_Page_Reach",$A$3,"Months (Date)",1)</f>
        <v>0.18787927595893752</v>
      </c>
      <c r="J6" s="10">
        <f>(GETPIVOTDATA("IG_Page_Reach",$A$3,"Months (Date)",2)-GETPIVOTDATA("IG_Page_Reach",$A$3,"Months (Date)",1))/GETPIVOTDATA("IG_Page_Reach",$A$3,"Months (Date)",1)</f>
        <v>-8.8784966682083702E-2</v>
      </c>
      <c r="K6" s="10">
        <f>(GETPIVOTDATA("FB_Page_Likes",D5,"Months (Date)",2)-GETPIVOTDATA("FB_Page_Likes",D4,"Months (Date)",1))/GETPIVOTDATA("FB_Page_Likes",D5,"Months (Date)",1)</f>
        <v>-0.21082854799015588</v>
      </c>
      <c r="L6" s="10">
        <f>(GETPIVOTDATA("IG_Page_Followers",$A$3,"Months (Date)",2)-GETPIVOTDATA("IG_Page_Followers",$A$3,"Months (Date)",1))/GETPIVOTDATA("IG_Page_Followers",$A$3,"Months (Date)",1)</f>
        <v>-0.15068493150684931</v>
      </c>
      <c r="M6" s="10">
        <f>(GETPIVOTDATA("AD_Spend",$A$3,"Months (Date)",2)-GETPIVOTDATA("AD_Spend",$A$3,"Months (Date)",1))/GETPIVOTDATA("AD_Spend",$A$3,"Months (Date)",1)</f>
        <v>0.36611525356772556</v>
      </c>
    </row>
    <row r="7" spans="1:13" ht="14.25" customHeight="1" x14ac:dyDescent="0.3">
      <c r="A7" s="19" t="s">
        <v>13</v>
      </c>
      <c r="B7" s="20">
        <v>116110</v>
      </c>
      <c r="C7" s="20">
        <v>34183</v>
      </c>
      <c r="D7" s="20">
        <v>417</v>
      </c>
      <c r="E7" s="20">
        <v>621</v>
      </c>
      <c r="F7" s="17">
        <v>642.83000000000015</v>
      </c>
      <c r="G7" s="7"/>
      <c r="H7" s="8" t="s">
        <v>13</v>
      </c>
      <c r="I7" s="10">
        <f>(GETPIVOTDATA("FB_Page_Reach",$A$3,"Months (Date)",3)-GETPIVOTDATA("FB_Page_Reach",$A$3,"Months (Date)",2))/GETPIVOTDATA("FB_Page_Reach",$A$3,"Months (Date)",2)</f>
        <v>-0.53695469246629157</v>
      </c>
      <c r="J7" s="10">
        <f>(GETPIVOTDATA("IG_Page_Reach",$A$3,"Months (Date)",3)-GETPIVOTDATA("IG_Page_Reach",$A$3,"Months (Date)",2))/GETPIVOTDATA("IG_Page_Reach",$A$3,"Months (Date)",2)</f>
        <v>-0.35738993119524759</v>
      </c>
      <c r="K7" s="10">
        <f>(GETPIVOTDATA("FB_Page_Likes",$A$3,"Months (Date)",3)-GETPIVOTDATA("FB_Page_Likes",$A$3,"Months (Date)",2))/GETPIVOTDATA("FB_Page_Likes",$A$3,"Months (Date)",2)</f>
        <v>-0.56652806652806653</v>
      </c>
      <c r="L7" s="10">
        <f>(GETPIVOTDATA("IG_Page_Followers",$A$3,"Months (Date)",3)-GETPIVOTDATA("IG_Page_Followers",$A$3,"Months (Date)",2))/GETPIVOTDATA("IG_Page_Followers",$A$3,"Months (Date)",2)</f>
        <v>-0.22952853598014888</v>
      </c>
      <c r="M7" s="10">
        <f>(GETPIVOTDATA("AD_Spend",$A$3,"Months (Date)",3)-GETPIVOTDATA("AD_Spend",$A$3,"Months (Date)",2))/GETPIVOTDATA("AD_Spend",$A$3,"Months (Date)",2)</f>
        <v>-0.53527897864465113</v>
      </c>
    </row>
    <row r="8" spans="1:13" ht="14.25" customHeight="1" x14ac:dyDescent="0.3">
      <c r="A8" s="19" t="s">
        <v>14</v>
      </c>
      <c r="B8" s="20">
        <v>278785</v>
      </c>
      <c r="C8" s="20">
        <v>45283</v>
      </c>
      <c r="D8" s="20">
        <v>491</v>
      </c>
      <c r="E8" s="20">
        <v>812</v>
      </c>
      <c r="F8" s="17">
        <v>1920.3999999999994</v>
      </c>
      <c r="G8" s="7"/>
      <c r="H8" s="8" t="s">
        <v>14</v>
      </c>
      <c r="I8" s="10">
        <f>(GETPIVOTDATA("FB_Page_Reach",$A$3,"Months (Date)",4)-GETPIVOTDATA("FB_Page_Reach",$A$3,"Months (Date)",3))/GETPIVOTDATA("FB_Page_Reach",$A$3,"Months (Date)",3)</f>
        <v>1.4010421152355526</v>
      </c>
      <c r="J8" s="10">
        <f>(GETPIVOTDATA("IG_Page_Reach",$A$3,"Months (Date)",4)-GETPIVOTDATA("IG_Page_Reach",$A$3,"Months (Date)",3))/GETPIVOTDATA("IG_Page_Reach",$A$3,"Months (Date)",3)</f>
        <v>0.32472281543457276</v>
      </c>
      <c r="K8" s="10">
        <f>(GETPIVOTDATA("FB_Page_Likes",$A$3,"Months (Date)",4)-GETPIVOTDATA("FB_Page_Likes",$A$3,"Months (Date)",3))/GETPIVOTDATA("FB_Page_Likes",$A$3,"Months (Date)",3)</f>
        <v>0.17745803357314149</v>
      </c>
      <c r="L8" s="10">
        <f>(GETPIVOTDATA("IG_Page_Followers",$A$3,"Months (Date)",4)-GETPIVOTDATA("IG_Page_Followers",$A$3,"Months (Date)",3))/GETPIVOTDATA("IG_Page_Followers",$A$3,"Months (Date)",3)</f>
        <v>0.30756843800322059</v>
      </c>
      <c r="M8" s="10">
        <f>(GETPIVOTDATA("AD_Spend",$A$3,"Months (Date)",4)-GETPIVOTDATA("AD_Spend",$A$3,"Months (Date)",3))/GETPIVOTDATA("AD_Spend",$A$3,"Months (Date)",3)</f>
        <v>1.9874150241899087</v>
      </c>
    </row>
    <row r="9" spans="1:13" x14ac:dyDescent="0.3">
      <c r="A9" s="19" t="s">
        <v>150</v>
      </c>
      <c r="B9" s="20">
        <v>856741</v>
      </c>
      <c r="C9" s="20">
        <v>191037</v>
      </c>
      <c r="D9" s="20">
        <v>3089</v>
      </c>
      <c r="E9" s="20">
        <v>3188</v>
      </c>
      <c r="F9" s="17">
        <v>4959.04</v>
      </c>
    </row>
    <row r="10" spans="1:13" ht="14.25" customHeight="1" x14ac:dyDescent="0.3">
      <c r="A10" s="11"/>
    </row>
    <row r="11" spans="1:13" x14ac:dyDescent="0.3">
      <c r="A11" s="15" t="s">
        <v>15</v>
      </c>
    </row>
    <row r="12" spans="1:13" ht="14.25" customHeight="1" x14ac:dyDescent="0.3">
      <c r="A12" s="6" t="s">
        <v>0</v>
      </c>
      <c r="B12" s="6" t="s">
        <v>16</v>
      </c>
      <c r="C12" s="6" t="s">
        <v>17</v>
      </c>
      <c r="D12" s="6" t="s">
        <v>18</v>
      </c>
      <c r="E12" s="6" t="s">
        <v>19</v>
      </c>
    </row>
    <row r="13" spans="1:13" ht="14.25" customHeight="1" x14ac:dyDescent="0.3">
      <c r="A13" s="9" t="s">
        <v>11</v>
      </c>
      <c r="B13" s="12">
        <v>211093</v>
      </c>
      <c r="C13" s="12">
        <v>58377</v>
      </c>
      <c r="D13" s="9"/>
      <c r="E13" s="9"/>
    </row>
    <row r="14" spans="1:13" ht="14.25" customHeight="1" x14ac:dyDescent="0.3">
      <c r="A14" s="9" t="s">
        <v>12</v>
      </c>
      <c r="B14" s="12">
        <v>250753</v>
      </c>
      <c r="C14" s="12">
        <v>53194</v>
      </c>
      <c r="D14" s="10">
        <f t="shared" ref="D14:E16" si="0">I6</f>
        <v>0.18787927595893752</v>
      </c>
      <c r="E14" s="10">
        <f t="shared" si="0"/>
        <v>-8.8784966682083702E-2</v>
      </c>
    </row>
    <row r="15" spans="1:13" ht="14.25" customHeight="1" x14ac:dyDescent="0.3">
      <c r="A15" s="9" t="s">
        <v>13</v>
      </c>
      <c r="B15" s="12">
        <v>116110</v>
      </c>
      <c r="C15" s="12">
        <v>34183</v>
      </c>
      <c r="D15" s="10">
        <f t="shared" si="0"/>
        <v>-0.53695469246629157</v>
      </c>
      <c r="E15" s="10">
        <f t="shared" si="0"/>
        <v>-0.35738993119524759</v>
      </c>
    </row>
    <row r="16" spans="1:13" ht="14.25" customHeight="1" x14ac:dyDescent="0.3">
      <c r="A16" s="9" t="s">
        <v>14</v>
      </c>
      <c r="B16" s="12">
        <v>278785</v>
      </c>
      <c r="C16" s="12">
        <v>45283</v>
      </c>
      <c r="D16" s="10">
        <f t="shared" si="0"/>
        <v>1.4010421152355526</v>
      </c>
      <c r="E16" s="10">
        <f t="shared" si="0"/>
        <v>0.32472281543457276</v>
      </c>
    </row>
    <row r="38" spans="1:3" x14ac:dyDescent="0.3">
      <c r="A38" s="15" t="s">
        <v>151</v>
      </c>
    </row>
    <row r="39" spans="1:3" x14ac:dyDescent="0.3">
      <c r="A39" s="16" t="s">
        <v>152</v>
      </c>
      <c r="B39" s="16" t="s">
        <v>153</v>
      </c>
      <c r="C39" s="16" t="s">
        <v>154</v>
      </c>
    </row>
    <row r="40" spans="1:3" x14ac:dyDescent="0.3">
      <c r="A40" s="9" t="s">
        <v>11</v>
      </c>
      <c r="B40" s="9">
        <v>1219</v>
      </c>
      <c r="C40" s="9">
        <v>949</v>
      </c>
    </row>
    <row r="41" spans="1:3" x14ac:dyDescent="0.3">
      <c r="A41" s="9" t="s">
        <v>12</v>
      </c>
      <c r="B41" s="9">
        <v>962</v>
      </c>
      <c r="C41" s="9">
        <v>806</v>
      </c>
    </row>
    <row r="42" spans="1:3" x14ac:dyDescent="0.3">
      <c r="A42" s="9" t="s">
        <v>13</v>
      </c>
      <c r="B42" s="9">
        <v>417</v>
      </c>
      <c r="C42" s="9">
        <v>621</v>
      </c>
    </row>
    <row r="43" spans="1:3" x14ac:dyDescent="0.3">
      <c r="A43" s="9" t="s">
        <v>14</v>
      </c>
      <c r="B43" s="9">
        <v>491</v>
      </c>
      <c r="C43" s="9">
        <v>812</v>
      </c>
    </row>
    <row r="64" spans="1:1" x14ac:dyDescent="0.3">
      <c r="A64" s="15" t="s">
        <v>155</v>
      </c>
    </row>
    <row r="65" spans="1:2" x14ac:dyDescent="0.3">
      <c r="A65" s="16" t="s">
        <v>152</v>
      </c>
      <c r="B65" s="16" t="s">
        <v>156</v>
      </c>
    </row>
    <row r="66" spans="1:2" x14ac:dyDescent="0.3">
      <c r="A66" s="9" t="s">
        <v>11</v>
      </c>
      <c r="B66" s="17">
        <v>1012.55</v>
      </c>
    </row>
    <row r="67" spans="1:2" x14ac:dyDescent="0.3">
      <c r="A67" s="9" t="s">
        <v>12</v>
      </c>
      <c r="B67" s="17">
        <v>1383.2600000000004</v>
      </c>
    </row>
    <row r="68" spans="1:2" x14ac:dyDescent="0.3">
      <c r="A68" s="9" t="s">
        <v>13</v>
      </c>
      <c r="B68" s="17">
        <v>642.83000000000015</v>
      </c>
    </row>
    <row r="69" spans="1:2" x14ac:dyDescent="0.3">
      <c r="A69" s="9" t="s">
        <v>14</v>
      </c>
      <c r="B69" s="17">
        <v>1920.3999999999994</v>
      </c>
    </row>
    <row r="83" spans="1:2" x14ac:dyDescent="0.3">
      <c r="A83" s="15" t="s">
        <v>157</v>
      </c>
    </row>
    <row r="85" spans="1:2" x14ac:dyDescent="0.3">
      <c r="A85" s="16" t="s">
        <v>0</v>
      </c>
      <c r="B85" s="16" t="s">
        <v>5</v>
      </c>
    </row>
    <row r="86" spans="1:2" x14ac:dyDescent="0.3">
      <c r="A86" s="9" t="s">
        <v>11</v>
      </c>
      <c r="B86" s="9"/>
    </row>
    <row r="87" spans="1:2" x14ac:dyDescent="0.3">
      <c r="A87" s="9" t="s">
        <v>12</v>
      </c>
      <c r="B87" s="10">
        <v>0.36611525356772556</v>
      </c>
    </row>
    <row r="88" spans="1:2" x14ac:dyDescent="0.3">
      <c r="A88" s="9" t="s">
        <v>13</v>
      </c>
      <c r="B88" s="10">
        <v>-0.53527897864465113</v>
      </c>
    </row>
    <row r="89" spans="1:2" x14ac:dyDescent="0.3">
      <c r="A89" s="9" t="s">
        <v>14</v>
      </c>
      <c r="B89" s="10">
        <v>1.9874150241899087</v>
      </c>
    </row>
  </sheetData>
  <pageMargins left="0.7" right="0.7" top="0.75" bottom="0.75" header="0.511811023622047" footer="0.511811023622047"/>
  <pageSetup paperSize="9" orientation="portrait" horizontalDpi="300" verticalDpi="30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2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3" style="2" customWidth="1"/>
    <col min="2" max="2" width="19.109375" customWidth="1"/>
    <col min="4" max="4" width="13" style="2" customWidth="1"/>
    <col min="5" max="5" width="17.6640625" customWidth="1"/>
    <col min="7" max="7" width="10.5546875" style="2" customWidth="1"/>
    <col min="8" max="8" width="18.44140625" customWidth="1"/>
    <col min="10" max="10" width="10.5546875" style="2" customWidth="1"/>
    <col min="11" max="11" width="18.33203125" customWidth="1"/>
    <col min="13" max="13" width="10.5546875" style="2" customWidth="1"/>
    <col min="14" max="14" width="39.44140625" customWidth="1"/>
    <col min="15" max="15" width="26.6640625" customWidth="1"/>
  </cols>
  <sheetData>
    <row r="1" spans="1:15" s="1" customFormat="1" ht="14.25" customHeight="1" x14ac:dyDescent="0.3">
      <c r="A1" s="13" t="s">
        <v>21</v>
      </c>
      <c r="B1" s="1" t="s">
        <v>20</v>
      </c>
      <c r="D1" s="13" t="s">
        <v>21</v>
      </c>
      <c r="E1" s="1" t="s">
        <v>142</v>
      </c>
      <c r="G1" s="13" t="s">
        <v>21</v>
      </c>
      <c r="H1" s="1" t="s">
        <v>143</v>
      </c>
      <c r="J1" s="13" t="s">
        <v>144</v>
      </c>
      <c r="K1" s="1" t="s">
        <v>145</v>
      </c>
      <c r="M1" s="13" t="s">
        <v>144</v>
      </c>
      <c r="N1" s="1" t="s">
        <v>146</v>
      </c>
      <c r="O1" s="1" t="s">
        <v>147</v>
      </c>
    </row>
    <row r="2" spans="1:15" ht="14.25" customHeight="1" x14ac:dyDescent="0.3">
      <c r="A2" s="2">
        <v>44927</v>
      </c>
      <c r="B2">
        <v>1993</v>
      </c>
      <c r="D2" s="2">
        <v>44927</v>
      </c>
      <c r="E2">
        <v>1314</v>
      </c>
      <c r="G2" s="2">
        <v>44927</v>
      </c>
      <c r="H2">
        <v>2</v>
      </c>
      <c r="J2" s="2">
        <v>44927</v>
      </c>
      <c r="K2">
        <v>8</v>
      </c>
      <c r="M2" s="2">
        <v>44927</v>
      </c>
      <c r="N2">
        <v>2052</v>
      </c>
      <c r="O2">
        <v>11.22</v>
      </c>
    </row>
    <row r="3" spans="1:15" ht="14.25" customHeight="1" x14ac:dyDescent="0.3">
      <c r="A3" s="2">
        <v>44928</v>
      </c>
      <c r="B3">
        <v>1497</v>
      </c>
      <c r="D3" s="2">
        <v>44928</v>
      </c>
      <c r="E3">
        <v>914</v>
      </c>
      <c r="G3" s="2">
        <v>44928</v>
      </c>
      <c r="H3">
        <v>5</v>
      </c>
      <c r="J3" s="2">
        <v>44928</v>
      </c>
      <c r="K3">
        <v>12</v>
      </c>
      <c r="M3" s="2">
        <v>44928</v>
      </c>
      <c r="N3">
        <v>1531</v>
      </c>
      <c r="O3">
        <v>10.63</v>
      </c>
    </row>
    <row r="4" spans="1:15" ht="14.25" customHeight="1" x14ac:dyDescent="0.3">
      <c r="A4" s="2">
        <v>44929</v>
      </c>
      <c r="B4">
        <v>1721</v>
      </c>
      <c r="D4" s="2">
        <v>44929</v>
      </c>
      <c r="E4">
        <v>870</v>
      </c>
      <c r="G4" s="2">
        <v>44929</v>
      </c>
      <c r="H4">
        <v>3</v>
      </c>
      <c r="J4" s="2">
        <v>44929</v>
      </c>
      <c r="K4">
        <v>12</v>
      </c>
      <c r="M4" s="2">
        <v>44929</v>
      </c>
      <c r="N4">
        <v>1696</v>
      </c>
      <c r="O4">
        <v>9.7899999999999991</v>
      </c>
    </row>
    <row r="5" spans="1:15" ht="14.25" customHeight="1" x14ac:dyDescent="0.3">
      <c r="A5" s="2">
        <v>44930</v>
      </c>
      <c r="B5">
        <v>3058</v>
      </c>
      <c r="D5" s="2">
        <v>44930</v>
      </c>
      <c r="E5">
        <v>1154</v>
      </c>
      <c r="G5" s="2">
        <v>44930</v>
      </c>
      <c r="H5">
        <v>14</v>
      </c>
      <c r="J5" s="2">
        <v>44930</v>
      </c>
      <c r="K5">
        <v>10</v>
      </c>
      <c r="M5" s="2">
        <v>44930</v>
      </c>
      <c r="N5">
        <v>2448</v>
      </c>
      <c r="O5">
        <v>5.09</v>
      </c>
    </row>
    <row r="6" spans="1:15" ht="14.25" customHeight="1" x14ac:dyDescent="0.3">
      <c r="A6" s="2">
        <v>44931</v>
      </c>
      <c r="B6">
        <v>5882</v>
      </c>
      <c r="D6" s="2">
        <v>44931</v>
      </c>
      <c r="E6">
        <v>2363</v>
      </c>
      <c r="G6" s="2">
        <v>44931</v>
      </c>
      <c r="H6">
        <v>27</v>
      </c>
      <c r="J6" s="2">
        <v>44931</v>
      </c>
      <c r="K6">
        <v>24</v>
      </c>
      <c r="M6" s="2">
        <v>44931</v>
      </c>
      <c r="N6">
        <v>5612</v>
      </c>
      <c r="O6">
        <v>17.84</v>
      </c>
    </row>
    <row r="7" spans="1:15" ht="14.25" customHeight="1" x14ac:dyDescent="0.3">
      <c r="A7" s="2">
        <v>44932</v>
      </c>
      <c r="B7">
        <v>6203</v>
      </c>
      <c r="D7" s="2">
        <v>44932</v>
      </c>
      <c r="E7">
        <v>1828</v>
      </c>
      <c r="G7" s="2">
        <v>44932</v>
      </c>
      <c r="H7">
        <v>42</v>
      </c>
      <c r="J7" s="2">
        <v>44932</v>
      </c>
      <c r="K7">
        <v>24</v>
      </c>
      <c r="M7" s="2">
        <v>44932</v>
      </c>
      <c r="N7">
        <v>6172</v>
      </c>
      <c r="O7">
        <v>21.07</v>
      </c>
    </row>
    <row r="8" spans="1:15" ht="14.25" customHeight="1" x14ac:dyDescent="0.3">
      <c r="A8" s="2">
        <v>44933</v>
      </c>
      <c r="B8">
        <v>6158</v>
      </c>
      <c r="D8" s="2">
        <v>44933</v>
      </c>
      <c r="E8">
        <v>2249</v>
      </c>
      <c r="G8" s="2">
        <v>44933</v>
      </c>
      <c r="H8">
        <v>30</v>
      </c>
      <c r="J8" s="2">
        <v>44933</v>
      </c>
      <c r="K8">
        <v>24</v>
      </c>
      <c r="M8" s="2">
        <v>44933</v>
      </c>
      <c r="N8">
        <v>5869</v>
      </c>
      <c r="O8">
        <v>21.65</v>
      </c>
    </row>
    <row r="9" spans="1:15" ht="14.25" customHeight="1" x14ac:dyDescent="0.3">
      <c r="A9" s="2">
        <v>44934</v>
      </c>
      <c r="B9">
        <v>8785</v>
      </c>
      <c r="D9" s="2">
        <v>44934</v>
      </c>
      <c r="E9">
        <v>1850</v>
      </c>
      <c r="G9" s="2">
        <v>44934</v>
      </c>
      <c r="H9">
        <v>46</v>
      </c>
      <c r="J9" s="2">
        <v>44934</v>
      </c>
      <c r="K9">
        <v>21</v>
      </c>
      <c r="M9" s="2">
        <v>44934</v>
      </c>
      <c r="N9">
        <v>7670</v>
      </c>
      <c r="O9">
        <v>29.77</v>
      </c>
    </row>
    <row r="10" spans="1:15" ht="14.25" customHeight="1" x14ac:dyDescent="0.3">
      <c r="A10" s="2">
        <v>44935</v>
      </c>
      <c r="B10">
        <v>9352</v>
      </c>
      <c r="D10" s="2">
        <v>44935</v>
      </c>
      <c r="E10">
        <v>2414</v>
      </c>
      <c r="G10" s="2">
        <v>44935</v>
      </c>
      <c r="H10">
        <v>34</v>
      </c>
      <c r="J10" s="2">
        <v>44935</v>
      </c>
      <c r="K10">
        <v>35</v>
      </c>
      <c r="M10" s="2">
        <v>44935</v>
      </c>
      <c r="N10">
        <v>9434</v>
      </c>
      <c r="O10">
        <v>36.35</v>
      </c>
    </row>
    <row r="11" spans="1:15" ht="14.25" customHeight="1" x14ac:dyDescent="0.3">
      <c r="A11" s="2">
        <v>44936</v>
      </c>
      <c r="B11">
        <v>9686</v>
      </c>
      <c r="D11" s="2">
        <v>44936</v>
      </c>
      <c r="E11">
        <v>2800</v>
      </c>
      <c r="G11" s="2">
        <v>44936</v>
      </c>
      <c r="H11">
        <v>44</v>
      </c>
      <c r="J11" s="2">
        <v>44936</v>
      </c>
      <c r="K11">
        <v>25</v>
      </c>
      <c r="M11" s="2">
        <v>44936</v>
      </c>
      <c r="N11">
        <v>10328</v>
      </c>
      <c r="O11">
        <v>48.88</v>
      </c>
    </row>
    <row r="12" spans="1:15" ht="14.25" customHeight="1" x14ac:dyDescent="0.3">
      <c r="A12" s="2">
        <v>44937</v>
      </c>
      <c r="B12">
        <v>8584</v>
      </c>
      <c r="D12" s="2">
        <v>44937</v>
      </c>
      <c r="E12">
        <v>1782</v>
      </c>
      <c r="G12" s="2">
        <v>44937</v>
      </c>
      <c r="H12">
        <v>44</v>
      </c>
      <c r="J12" s="2">
        <v>44937</v>
      </c>
      <c r="K12">
        <v>22</v>
      </c>
      <c r="M12" s="2">
        <v>44937</v>
      </c>
      <c r="N12">
        <v>8260</v>
      </c>
      <c r="O12">
        <v>34.21</v>
      </c>
    </row>
    <row r="13" spans="1:15" ht="14.25" customHeight="1" x14ac:dyDescent="0.3">
      <c r="A13" s="2">
        <v>44938</v>
      </c>
      <c r="B13">
        <v>8599</v>
      </c>
      <c r="D13" s="2">
        <v>44938</v>
      </c>
      <c r="E13">
        <v>1154</v>
      </c>
      <c r="G13" s="2">
        <v>44938</v>
      </c>
      <c r="H13">
        <v>54</v>
      </c>
      <c r="J13" s="2">
        <v>44938</v>
      </c>
      <c r="K13">
        <v>29</v>
      </c>
      <c r="M13" s="2">
        <v>44938</v>
      </c>
      <c r="N13">
        <v>9030</v>
      </c>
      <c r="O13">
        <v>27.6</v>
      </c>
    </row>
    <row r="14" spans="1:15" ht="14.25" customHeight="1" x14ac:dyDescent="0.3">
      <c r="A14" s="2">
        <v>44939</v>
      </c>
      <c r="B14">
        <v>6006</v>
      </c>
      <c r="D14" s="2">
        <v>44939</v>
      </c>
      <c r="E14">
        <v>971</v>
      </c>
      <c r="G14" s="2">
        <v>44939</v>
      </c>
      <c r="H14">
        <v>23</v>
      </c>
      <c r="J14" s="2">
        <v>44939</v>
      </c>
      <c r="K14">
        <v>16</v>
      </c>
      <c r="M14" s="2">
        <v>44939</v>
      </c>
      <c r="N14">
        <v>5978</v>
      </c>
      <c r="O14">
        <v>21.27</v>
      </c>
    </row>
    <row r="15" spans="1:15" ht="14.25" customHeight="1" x14ac:dyDescent="0.3">
      <c r="A15" s="2">
        <v>44940</v>
      </c>
      <c r="B15">
        <v>4816</v>
      </c>
      <c r="D15" s="2">
        <v>44940</v>
      </c>
      <c r="E15">
        <v>873</v>
      </c>
      <c r="G15" s="2">
        <v>44940</v>
      </c>
      <c r="H15">
        <v>14</v>
      </c>
      <c r="J15" s="2">
        <v>44940</v>
      </c>
      <c r="K15">
        <v>14</v>
      </c>
      <c r="M15" s="2">
        <v>44940</v>
      </c>
      <c r="N15">
        <v>5012</v>
      </c>
      <c r="O15">
        <v>20.34</v>
      </c>
    </row>
    <row r="16" spans="1:15" ht="14.25" customHeight="1" x14ac:dyDescent="0.3">
      <c r="A16" s="2">
        <v>44941</v>
      </c>
      <c r="B16">
        <v>6935</v>
      </c>
      <c r="D16" s="2">
        <v>44941</v>
      </c>
      <c r="E16">
        <v>2369</v>
      </c>
      <c r="G16" s="2">
        <v>44941</v>
      </c>
      <c r="H16">
        <v>41</v>
      </c>
      <c r="J16" s="2">
        <v>44941</v>
      </c>
      <c r="K16">
        <v>42</v>
      </c>
      <c r="M16" s="2">
        <v>44941</v>
      </c>
      <c r="N16">
        <v>6574</v>
      </c>
      <c r="O16">
        <v>36.520000000000003</v>
      </c>
    </row>
    <row r="17" spans="1:15" ht="14.25" customHeight="1" x14ac:dyDescent="0.3">
      <c r="A17" s="2">
        <v>44942</v>
      </c>
      <c r="B17">
        <v>8092</v>
      </c>
      <c r="D17" s="2">
        <v>44942</v>
      </c>
      <c r="E17">
        <v>3527</v>
      </c>
      <c r="G17" s="2">
        <v>44942</v>
      </c>
      <c r="H17">
        <v>45</v>
      </c>
      <c r="J17" s="2">
        <v>44942</v>
      </c>
      <c r="K17">
        <v>49</v>
      </c>
      <c r="M17" s="2">
        <v>44942</v>
      </c>
      <c r="N17">
        <v>8074</v>
      </c>
      <c r="O17">
        <v>44.93</v>
      </c>
    </row>
    <row r="18" spans="1:15" ht="14.25" customHeight="1" x14ac:dyDescent="0.3">
      <c r="A18" s="2">
        <v>44943</v>
      </c>
      <c r="B18">
        <v>7128</v>
      </c>
      <c r="D18" s="2">
        <v>44943</v>
      </c>
      <c r="E18">
        <v>2291</v>
      </c>
      <c r="G18" s="2">
        <v>44943</v>
      </c>
      <c r="H18">
        <v>17</v>
      </c>
      <c r="J18" s="2">
        <v>44943</v>
      </c>
      <c r="K18">
        <v>33</v>
      </c>
      <c r="M18" s="2">
        <v>44943</v>
      </c>
      <c r="N18">
        <v>7418</v>
      </c>
      <c r="O18">
        <v>46.08</v>
      </c>
    </row>
    <row r="19" spans="1:15" ht="14.25" customHeight="1" x14ac:dyDescent="0.3">
      <c r="A19" s="2">
        <v>44944</v>
      </c>
      <c r="B19">
        <v>7356</v>
      </c>
      <c r="D19" s="2">
        <v>44944</v>
      </c>
      <c r="E19">
        <v>2068</v>
      </c>
      <c r="G19" s="2">
        <v>44944</v>
      </c>
      <c r="H19">
        <v>147</v>
      </c>
      <c r="J19" s="2">
        <v>44944</v>
      </c>
      <c r="K19">
        <v>34</v>
      </c>
      <c r="M19" s="2">
        <v>44944</v>
      </c>
      <c r="N19">
        <v>7404</v>
      </c>
      <c r="O19">
        <v>46.07</v>
      </c>
    </row>
    <row r="20" spans="1:15" ht="14.25" customHeight="1" x14ac:dyDescent="0.3">
      <c r="A20" s="2">
        <v>44945</v>
      </c>
      <c r="B20">
        <v>6772</v>
      </c>
      <c r="D20" s="2">
        <v>44945</v>
      </c>
      <c r="E20">
        <v>1617</v>
      </c>
      <c r="G20" s="2">
        <v>44945</v>
      </c>
      <c r="H20">
        <v>68</v>
      </c>
      <c r="J20" s="2">
        <v>44945</v>
      </c>
      <c r="K20">
        <v>17</v>
      </c>
      <c r="M20" s="2">
        <v>44945</v>
      </c>
      <c r="N20">
        <v>6646</v>
      </c>
      <c r="O20">
        <v>44.82</v>
      </c>
    </row>
    <row r="21" spans="1:15" ht="14.25" customHeight="1" x14ac:dyDescent="0.3">
      <c r="A21" s="2">
        <v>44946</v>
      </c>
      <c r="B21">
        <v>7194</v>
      </c>
      <c r="D21" s="2">
        <v>44946</v>
      </c>
      <c r="E21">
        <v>1655</v>
      </c>
      <c r="G21" s="2">
        <v>44946</v>
      </c>
      <c r="H21">
        <v>39</v>
      </c>
      <c r="J21" s="2">
        <v>44946</v>
      </c>
      <c r="K21">
        <v>37</v>
      </c>
      <c r="M21" s="2">
        <v>44946</v>
      </c>
      <c r="N21">
        <v>7118</v>
      </c>
      <c r="O21">
        <v>46.59</v>
      </c>
    </row>
    <row r="22" spans="1:15" ht="14.25" customHeight="1" x14ac:dyDescent="0.3">
      <c r="A22" s="2">
        <v>44947</v>
      </c>
      <c r="B22">
        <v>8337</v>
      </c>
      <c r="D22" s="2">
        <v>44947</v>
      </c>
      <c r="E22">
        <v>1514</v>
      </c>
      <c r="G22" s="2">
        <v>44947</v>
      </c>
      <c r="H22">
        <v>51</v>
      </c>
      <c r="J22" s="2">
        <v>44947</v>
      </c>
      <c r="K22">
        <v>27</v>
      </c>
      <c r="M22" s="2">
        <v>44947</v>
      </c>
      <c r="N22">
        <v>7690</v>
      </c>
      <c r="O22">
        <v>46.74</v>
      </c>
    </row>
    <row r="23" spans="1:15" ht="14.25" customHeight="1" x14ac:dyDescent="0.3">
      <c r="A23" s="2">
        <v>44948</v>
      </c>
      <c r="B23">
        <v>7695</v>
      </c>
      <c r="D23" s="2">
        <v>44948</v>
      </c>
      <c r="E23">
        <v>1400</v>
      </c>
      <c r="G23" s="2">
        <v>44948</v>
      </c>
      <c r="H23">
        <v>26</v>
      </c>
      <c r="J23" s="2">
        <v>44948</v>
      </c>
      <c r="K23">
        <v>34</v>
      </c>
      <c r="M23" s="2">
        <v>44948</v>
      </c>
      <c r="N23">
        <v>8126</v>
      </c>
      <c r="O23">
        <v>45.66</v>
      </c>
    </row>
    <row r="24" spans="1:15" ht="14.25" customHeight="1" x14ac:dyDescent="0.3">
      <c r="A24" s="2">
        <v>44949</v>
      </c>
      <c r="B24">
        <v>9331</v>
      </c>
      <c r="D24" s="2">
        <v>44949</v>
      </c>
      <c r="E24">
        <v>2057</v>
      </c>
      <c r="G24" s="2">
        <v>44949</v>
      </c>
      <c r="H24">
        <v>30</v>
      </c>
      <c r="J24" s="2">
        <v>44949</v>
      </c>
      <c r="K24">
        <v>40</v>
      </c>
      <c r="M24" s="2">
        <v>44949</v>
      </c>
      <c r="N24">
        <v>9378</v>
      </c>
      <c r="O24">
        <v>46</v>
      </c>
    </row>
    <row r="25" spans="1:15" ht="14.25" customHeight="1" x14ac:dyDescent="0.3">
      <c r="A25" s="2">
        <v>44950</v>
      </c>
      <c r="B25">
        <v>7673</v>
      </c>
      <c r="D25" s="2">
        <v>44950</v>
      </c>
      <c r="E25">
        <v>1885</v>
      </c>
      <c r="G25" s="2">
        <v>44950</v>
      </c>
      <c r="H25">
        <v>32</v>
      </c>
      <c r="J25" s="2">
        <v>44950</v>
      </c>
      <c r="K25">
        <v>34</v>
      </c>
      <c r="M25" s="2">
        <v>44950</v>
      </c>
      <c r="N25">
        <v>7996</v>
      </c>
      <c r="O25">
        <v>43.11</v>
      </c>
    </row>
    <row r="26" spans="1:15" ht="14.25" customHeight="1" x14ac:dyDescent="0.3">
      <c r="A26" s="2">
        <v>44951</v>
      </c>
      <c r="B26">
        <v>8256</v>
      </c>
      <c r="D26" s="2">
        <v>44951</v>
      </c>
      <c r="E26">
        <v>2313</v>
      </c>
      <c r="G26" s="2">
        <v>44951</v>
      </c>
      <c r="H26">
        <v>18</v>
      </c>
      <c r="J26" s="2">
        <v>44951</v>
      </c>
      <c r="K26">
        <v>35</v>
      </c>
      <c r="M26" s="2">
        <v>44951</v>
      </c>
      <c r="N26">
        <v>7856</v>
      </c>
      <c r="O26">
        <v>46.18</v>
      </c>
    </row>
    <row r="27" spans="1:15" ht="14.25" customHeight="1" x14ac:dyDescent="0.3">
      <c r="A27" s="2">
        <v>44952</v>
      </c>
      <c r="B27">
        <v>8576</v>
      </c>
      <c r="D27" s="2">
        <v>44952</v>
      </c>
      <c r="E27">
        <v>2925</v>
      </c>
      <c r="G27" s="2">
        <v>44952</v>
      </c>
      <c r="H27">
        <v>44</v>
      </c>
      <c r="J27" s="2">
        <v>44952</v>
      </c>
      <c r="K27">
        <v>55</v>
      </c>
      <c r="M27" s="2">
        <v>44952</v>
      </c>
      <c r="N27">
        <v>8637</v>
      </c>
      <c r="O27">
        <v>45.93</v>
      </c>
    </row>
    <row r="28" spans="1:15" ht="14.25" customHeight="1" x14ac:dyDescent="0.3">
      <c r="A28" s="2">
        <v>44953</v>
      </c>
      <c r="B28">
        <v>9474</v>
      </c>
      <c r="D28" s="2">
        <v>44953</v>
      </c>
      <c r="E28">
        <v>2130</v>
      </c>
      <c r="G28" s="2">
        <v>44953</v>
      </c>
      <c r="H28">
        <v>171</v>
      </c>
      <c r="J28" s="2">
        <v>44953</v>
      </c>
      <c r="K28">
        <v>98</v>
      </c>
      <c r="M28" s="2">
        <v>44953</v>
      </c>
      <c r="N28">
        <v>9482</v>
      </c>
      <c r="O28">
        <v>45.16</v>
      </c>
    </row>
    <row r="29" spans="1:15" ht="14.25" customHeight="1" x14ac:dyDescent="0.3">
      <c r="A29" s="2">
        <v>44954</v>
      </c>
      <c r="B29">
        <v>7396</v>
      </c>
      <c r="D29" s="2">
        <v>44954</v>
      </c>
      <c r="E29">
        <v>2216</v>
      </c>
      <c r="G29" s="2">
        <v>44954</v>
      </c>
      <c r="H29">
        <v>30</v>
      </c>
      <c r="J29" s="2">
        <v>44954</v>
      </c>
      <c r="K29">
        <v>35</v>
      </c>
      <c r="M29" s="2">
        <v>44954</v>
      </c>
      <c r="N29">
        <v>7800</v>
      </c>
      <c r="O29">
        <v>44.84</v>
      </c>
    </row>
    <row r="30" spans="1:15" ht="14.25" customHeight="1" x14ac:dyDescent="0.3">
      <c r="A30" s="2">
        <v>44955</v>
      </c>
      <c r="B30">
        <v>6199</v>
      </c>
      <c r="D30" s="2">
        <v>44955</v>
      </c>
      <c r="E30">
        <v>2199</v>
      </c>
      <c r="G30" s="2">
        <v>44955</v>
      </c>
      <c r="H30">
        <v>21</v>
      </c>
      <c r="J30" s="2">
        <v>44955</v>
      </c>
      <c r="K30">
        <v>40</v>
      </c>
      <c r="M30" s="2">
        <v>44955</v>
      </c>
      <c r="N30">
        <v>5534</v>
      </c>
      <c r="O30">
        <v>23.25</v>
      </c>
    </row>
    <row r="31" spans="1:15" ht="14.25" customHeight="1" x14ac:dyDescent="0.3">
      <c r="A31" s="2">
        <v>44956</v>
      </c>
      <c r="B31">
        <v>6265</v>
      </c>
      <c r="D31" s="2">
        <v>44956</v>
      </c>
      <c r="E31">
        <v>1977</v>
      </c>
      <c r="G31" s="2">
        <v>44956</v>
      </c>
      <c r="H31">
        <v>32</v>
      </c>
      <c r="J31" s="2">
        <v>44956</v>
      </c>
      <c r="K31">
        <v>28</v>
      </c>
      <c r="M31" s="2">
        <v>44956</v>
      </c>
      <c r="N31">
        <v>6436</v>
      </c>
      <c r="O31">
        <v>22.86</v>
      </c>
    </row>
    <row r="32" spans="1:15" ht="14.25" customHeight="1" x14ac:dyDescent="0.3">
      <c r="A32" s="2">
        <v>44957</v>
      </c>
      <c r="B32">
        <v>6074</v>
      </c>
      <c r="D32" s="2">
        <v>44957</v>
      </c>
      <c r="E32">
        <v>1698</v>
      </c>
      <c r="G32" s="2">
        <v>44957</v>
      </c>
      <c r="H32">
        <v>25</v>
      </c>
      <c r="J32" s="2">
        <v>44957</v>
      </c>
      <c r="K32">
        <v>35</v>
      </c>
      <c r="M32" s="2">
        <v>44957</v>
      </c>
      <c r="N32">
        <v>5312</v>
      </c>
      <c r="O32">
        <v>22.1</v>
      </c>
    </row>
    <row r="33" spans="1:15" ht="14.25" customHeight="1" x14ac:dyDescent="0.3">
      <c r="A33" s="2">
        <v>44958</v>
      </c>
      <c r="B33">
        <v>7299</v>
      </c>
      <c r="D33" s="2">
        <v>44958</v>
      </c>
      <c r="E33">
        <v>1823</v>
      </c>
      <c r="G33" s="2">
        <v>44958</v>
      </c>
      <c r="H33">
        <v>55</v>
      </c>
      <c r="J33" s="2">
        <v>44958</v>
      </c>
      <c r="K33">
        <v>28</v>
      </c>
      <c r="M33" s="2">
        <v>44958</v>
      </c>
      <c r="N33">
        <v>7023</v>
      </c>
      <c r="O33">
        <v>50.81</v>
      </c>
    </row>
    <row r="34" spans="1:15" ht="14.25" customHeight="1" x14ac:dyDescent="0.3">
      <c r="A34" s="2">
        <v>44959</v>
      </c>
      <c r="B34">
        <v>6366</v>
      </c>
      <c r="D34" s="2">
        <v>44959</v>
      </c>
      <c r="E34">
        <v>2859</v>
      </c>
      <c r="G34" s="2">
        <v>44959</v>
      </c>
      <c r="H34">
        <v>69</v>
      </c>
      <c r="J34" s="2">
        <v>44959</v>
      </c>
      <c r="K34">
        <v>55</v>
      </c>
      <c r="M34" s="2">
        <v>44959</v>
      </c>
      <c r="N34">
        <v>6318</v>
      </c>
      <c r="O34">
        <v>48.6</v>
      </c>
    </row>
    <row r="35" spans="1:15" ht="14.25" customHeight="1" x14ac:dyDescent="0.3">
      <c r="A35" s="2">
        <v>44960</v>
      </c>
      <c r="B35">
        <v>7455</v>
      </c>
      <c r="D35" s="2">
        <v>44960</v>
      </c>
      <c r="E35">
        <v>1892</v>
      </c>
      <c r="G35" s="2">
        <v>44960</v>
      </c>
      <c r="H35">
        <v>29</v>
      </c>
      <c r="J35" s="2">
        <v>44960</v>
      </c>
      <c r="K35">
        <v>17</v>
      </c>
      <c r="M35" s="2">
        <v>44960</v>
      </c>
      <c r="N35">
        <v>7304</v>
      </c>
      <c r="O35">
        <v>55.82</v>
      </c>
    </row>
    <row r="36" spans="1:15" ht="14.25" customHeight="1" x14ac:dyDescent="0.3">
      <c r="A36" s="2">
        <v>44961</v>
      </c>
      <c r="B36">
        <v>9423</v>
      </c>
      <c r="D36" s="2">
        <v>44961</v>
      </c>
      <c r="E36">
        <v>2264</v>
      </c>
      <c r="G36" s="2">
        <v>44961</v>
      </c>
      <c r="H36">
        <v>19</v>
      </c>
      <c r="J36" s="2">
        <v>44961</v>
      </c>
      <c r="K36">
        <v>20</v>
      </c>
      <c r="M36" s="2">
        <v>44961</v>
      </c>
      <c r="N36">
        <v>8848</v>
      </c>
      <c r="O36">
        <v>75.819999999999993</v>
      </c>
    </row>
    <row r="37" spans="1:15" ht="14.25" customHeight="1" x14ac:dyDescent="0.3">
      <c r="A37" s="2">
        <v>44962</v>
      </c>
      <c r="B37">
        <v>6979</v>
      </c>
      <c r="D37" s="2">
        <v>44962</v>
      </c>
      <c r="E37">
        <v>1307</v>
      </c>
      <c r="G37" s="2">
        <v>44962</v>
      </c>
      <c r="H37">
        <v>36</v>
      </c>
      <c r="J37" s="2">
        <v>44962</v>
      </c>
      <c r="K37">
        <v>22</v>
      </c>
      <c r="M37" s="2">
        <v>44962</v>
      </c>
      <c r="N37">
        <v>8150</v>
      </c>
      <c r="O37">
        <v>68.48</v>
      </c>
    </row>
    <row r="38" spans="1:15" ht="14.25" customHeight="1" x14ac:dyDescent="0.3">
      <c r="A38" s="2">
        <v>44963</v>
      </c>
      <c r="B38">
        <v>6386</v>
      </c>
      <c r="D38" s="2">
        <v>44963</v>
      </c>
      <c r="E38">
        <v>1073</v>
      </c>
      <c r="G38" s="2">
        <v>44963</v>
      </c>
      <c r="H38">
        <v>28</v>
      </c>
      <c r="J38" s="2">
        <v>44963</v>
      </c>
      <c r="K38">
        <v>23</v>
      </c>
      <c r="M38" s="2">
        <v>44963</v>
      </c>
      <c r="N38">
        <v>6310</v>
      </c>
      <c r="O38">
        <v>23.58</v>
      </c>
    </row>
    <row r="39" spans="1:15" ht="14.25" customHeight="1" x14ac:dyDescent="0.3">
      <c r="A39" s="2">
        <v>44964</v>
      </c>
      <c r="B39">
        <v>6525</v>
      </c>
      <c r="D39" s="2">
        <v>44964</v>
      </c>
      <c r="E39">
        <v>1299</v>
      </c>
      <c r="G39" s="2">
        <v>44964</v>
      </c>
      <c r="H39">
        <v>17</v>
      </c>
      <c r="J39" s="2">
        <v>44964</v>
      </c>
      <c r="K39">
        <v>21</v>
      </c>
      <c r="M39" s="2">
        <v>44964</v>
      </c>
      <c r="N39">
        <v>6206</v>
      </c>
      <c r="O39">
        <v>21.93</v>
      </c>
    </row>
    <row r="40" spans="1:15" ht="14.25" customHeight="1" x14ac:dyDescent="0.3">
      <c r="A40" s="2">
        <v>44965</v>
      </c>
      <c r="B40">
        <v>6328</v>
      </c>
      <c r="D40" s="2">
        <v>44965</v>
      </c>
      <c r="E40">
        <v>1074</v>
      </c>
      <c r="G40" s="2">
        <v>44965</v>
      </c>
      <c r="H40">
        <v>26</v>
      </c>
      <c r="J40" s="2">
        <v>44965</v>
      </c>
      <c r="K40">
        <v>19</v>
      </c>
      <c r="M40" s="2">
        <v>44965</v>
      </c>
      <c r="N40">
        <v>6092</v>
      </c>
      <c r="O40">
        <v>23.68</v>
      </c>
    </row>
    <row r="41" spans="1:15" ht="14.25" customHeight="1" x14ac:dyDescent="0.3">
      <c r="A41" s="2">
        <v>44966</v>
      </c>
      <c r="B41">
        <v>6839</v>
      </c>
      <c r="D41" s="2">
        <v>44966</v>
      </c>
      <c r="E41">
        <v>926</v>
      </c>
      <c r="G41" s="2">
        <v>44966</v>
      </c>
      <c r="H41">
        <v>33</v>
      </c>
      <c r="J41" s="2">
        <v>44966</v>
      </c>
      <c r="K41">
        <v>16</v>
      </c>
      <c r="M41" s="2">
        <v>44966</v>
      </c>
      <c r="N41">
        <v>6629</v>
      </c>
      <c r="O41">
        <v>23.31</v>
      </c>
    </row>
    <row r="42" spans="1:15" ht="14.25" customHeight="1" x14ac:dyDescent="0.3">
      <c r="A42" s="2">
        <v>44967</v>
      </c>
      <c r="B42">
        <v>7157</v>
      </c>
      <c r="D42" s="2">
        <v>44967</v>
      </c>
      <c r="E42">
        <v>890</v>
      </c>
      <c r="G42" s="2">
        <v>44967</v>
      </c>
      <c r="H42">
        <v>16</v>
      </c>
      <c r="J42" s="2">
        <v>44967</v>
      </c>
      <c r="K42">
        <v>17</v>
      </c>
      <c r="M42" s="2">
        <v>44967</v>
      </c>
      <c r="N42">
        <v>7116</v>
      </c>
      <c r="O42">
        <v>23.09</v>
      </c>
    </row>
    <row r="43" spans="1:15" ht="14.25" customHeight="1" x14ac:dyDescent="0.3">
      <c r="A43" s="2">
        <v>44968</v>
      </c>
      <c r="B43">
        <v>9234</v>
      </c>
      <c r="D43" s="2">
        <v>44968</v>
      </c>
      <c r="E43">
        <v>892</v>
      </c>
      <c r="G43" s="2">
        <v>44968</v>
      </c>
      <c r="H43">
        <v>29</v>
      </c>
      <c r="J43" s="2">
        <v>44968</v>
      </c>
      <c r="K43">
        <v>32</v>
      </c>
      <c r="M43" s="2">
        <v>44968</v>
      </c>
      <c r="N43">
        <v>8132</v>
      </c>
      <c r="O43">
        <v>32.119999999999997</v>
      </c>
    </row>
    <row r="44" spans="1:15" ht="14.25" customHeight="1" x14ac:dyDescent="0.3">
      <c r="A44" s="2">
        <v>44969</v>
      </c>
      <c r="B44">
        <v>11204</v>
      </c>
      <c r="D44" s="2">
        <v>44969</v>
      </c>
      <c r="E44">
        <v>1121</v>
      </c>
      <c r="G44" s="2">
        <v>44969</v>
      </c>
      <c r="H44">
        <v>34</v>
      </c>
      <c r="J44" s="2">
        <v>44969</v>
      </c>
      <c r="K44">
        <v>18</v>
      </c>
      <c r="M44" s="2">
        <v>44969</v>
      </c>
      <c r="N44">
        <v>11212</v>
      </c>
      <c r="O44">
        <v>104.95</v>
      </c>
    </row>
    <row r="45" spans="1:15" ht="14.25" customHeight="1" x14ac:dyDescent="0.3">
      <c r="A45" s="2">
        <v>44970</v>
      </c>
      <c r="B45">
        <v>9895</v>
      </c>
      <c r="D45" s="2">
        <v>44970</v>
      </c>
      <c r="E45">
        <v>1322</v>
      </c>
      <c r="G45" s="2">
        <v>44970</v>
      </c>
      <c r="H45">
        <v>48</v>
      </c>
      <c r="J45" s="2">
        <v>44970</v>
      </c>
      <c r="K45">
        <v>20</v>
      </c>
      <c r="M45" s="2">
        <v>44970</v>
      </c>
      <c r="N45">
        <v>10872</v>
      </c>
      <c r="O45">
        <v>72.89</v>
      </c>
    </row>
    <row r="46" spans="1:15" ht="14.25" customHeight="1" x14ac:dyDescent="0.3">
      <c r="A46" s="2">
        <v>44971</v>
      </c>
      <c r="B46">
        <v>10339</v>
      </c>
      <c r="D46" s="2">
        <v>44971</v>
      </c>
      <c r="E46">
        <v>1448</v>
      </c>
      <c r="G46" s="2">
        <v>44971</v>
      </c>
      <c r="H46">
        <v>33</v>
      </c>
      <c r="J46" s="2">
        <v>44971</v>
      </c>
      <c r="K46">
        <v>24</v>
      </c>
      <c r="M46" s="2">
        <v>44971</v>
      </c>
      <c r="N46">
        <v>10008</v>
      </c>
      <c r="O46">
        <v>40.15</v>
      </c>
    </row>
    <row r="47" spans="1:15" ht="14.25" customHeight="1" x14ac:dyDescent="0.3">
      <c r="A47" s="2">
        <v>44972</v>
      </c>
      <c r="B47">
        <v>9953</v>
      </c>
      <c r="D47" s="2">
        <v>44972</v>
      </c>
      <c r="E47">
        <v>2085</v>
      </c>
      <c r="G47" s="2">
        <v>44972</v>
      </c>
      <c r="H47">
        <v>60</v>
      </c>
      <c r="J47" s="2">
        <v>44972</v>
      </c>
      <c r="K47">
        <v>48</v>
      </c>
      <c r="M47" s="2">
        <v>44972</v>
      </c>
      <c r="N47">
        <v>9110</v>
      </c>
      <c r="O47">
        <v>26.32</v>
      </c>
    </row>
    <row r="48" spans="1:15" ht="14.25" customHeight="1" x14ac:dyDescent="0.3">
      <c r="A48" s="2">
        <v>44973</v>
      </c>
      <c r="B48">
        <v>9622</v>
      </c>
      <c r="D48" s="2">
        <v>44973</v>
      </c>
      <c r="E48">
        <v>1597</v>
      </c>
      <c r="G48" s="2">
        <v>44973</v>
      </c>
      <c r="H48">
        <v>42</v>
      </c>
      <c r="J48" s="2">
        <v>44973</v>
      </c>
      <c r="K48">
        <v>17</v>
      </c>
      <c r="M48" s="2">
        <v>44973</v>
      </c>
      <c r="N48">
        <v>9541</v>
      </c>
      <c r="O48">
        <v>26.84</v>
      </c>
    </row>
    <row r="49" spans="1:15" ht="14.25" customHeight="1" x14ac:dyDescent="0.3">
      <c r="A49" s="2">
        <v>44974</v>
      </c>
      <c r="B49">
        <v>8351</v>
      </c>
      <c r="D49" s="2">
        <v>44974</v>
      </c>
      <c r="E49">
        <v>1539</v>
      </c>
      <c r="G49" s="2">
        <v>44974</v>
      </c>
      <c r="H49">
        <v>28</v>
      </c>
      <c r="J49" s="2">
        <v>44974</v>
      </c>
      <c r="K49">
        <v>15</v>
      </c>
      <c r="M49" s="2">
        <v>44974</v>
      </c>
      <c r="N49">
        <v>8396</v>
      </c>
      <c r="O49">
        <v>26.37</v>
      </c>
    </row>
    <row r="50" spans="1:15" ht="14.25" customHeight="1" x14ac:dyDescent="0.3">
      <c r="A50" s="2">
        <v>44975</v>
      </c>
      <c r="B50">
        <v>12476</v>
      </c>
      <c r="D50" s="2">
        <v>44975</v>
      </c>
      <c r="E50">
        <v>1617</v>
      </c>
      <c r="G50" s="2">
        <v>44975</v>
      </c>
      <c r="H50">
        <v>24</v>
      </c>
      <c r="J50" s="2">
        <v>44975</v>
      </c>
      <c r="K50">
        <v>20</v>
      </c>
      <c r="M50" s="2">
        <v>44975</v>
      </c>
      <c r="N50">
        <v>12284</v>
      </c>
      <c r="O50">
        <v>41.29</v>
      </c>
    </row>
    <row r="51" spans="1:15" ht="14.25" customHeight="1" x14ac:dyDescent="0.3">
      <c r="A51" s="2">
        <v>44976</v>
      </c>
      <c r="B51">
        <v>11381</v>
      </c>
      <c r="D51" s="2">
        <v>44976</v>
      </c>
      <c r="E51">
        <v>1837</v>
      </c>
      <c r="G51" s="2">
        <v>44976</v>
      </c>
      <c r="H51">
        <v>28</v>
      </c>
      <c r="J51" s="2">
        <v>44976</v>
      </c>
      <c r="K51">
        <v>32</v>
      </c>
      <c r="M51" s="2">
        <v>44976</v>
      </c>
      <c r="N51">
        <v>12056</v>
      </c>
      <c r="O51">
        <v>61.76</v>
      </c>
    </row>
    <row r="52" spans="1:15" ht="14.25" customHeight="1" x14ac:dyDescent="0.3">
      <c r="A52" s="2">
        <v>44977</v>
      </c>
      <c r="B52">
        <v>8699</v>
      </c>
      <c r="D52" s="2">
        <v>44977</v>
      </c>
      <c r="E52">
        <v>2392</v>
      </c>
      <c r="G52" s="2">
        <v>44977</v>
      </c>
      <c r="H52">
        <v>25</v>
      </c>
      <c r="J52" s="2">
        <v>44977</v>
      </c>
      <c r="K52">
        <v>20</v>
      </c>
      <c r="M52" s="2">
        <v>44977</v>
      </c>
      <c r="N52">
        <v>8528</v>
      </c>
      <c r="O52">
        <v>59.94</v>
      </c>
    </row>
    <row r="53" spans="1:15" ht="14.25" customHeight="1" x14ac:dyDescent="0.3">
      <c r="A53" s="2">
        <v>44978</v>
      </c>
      <c r="B53">
        <v>10031</v>
      </c>
      <c r="D53" s="2">
        <v>44978</v>
      </c>
      <c r="E53">
        <v>3230</v>
      </c>
      <c r="G53" s="2">
        <v>44978</v>
      </c>
      <c r="H53">
        <v>48</v>
      </c>
      <c r="J53" s="2">
        <v>44978</v>
      </c>
      <c r="K53">
        <v>51</v>
      </c>
      <c r="M53" s="2">
        <v>44978</v>
      </c>
      <c r="N53">
        <v>9836</v>
      </c>
      <c r="O53">
        <v>61.55</v>
      </c>
    </row>
    <row r="54" spans="1:15" ht="14.25" customHeight="1" x14ac:dyDescent="0.3">
      <c r="A54" s="2">
        <v>44979</v>
      </c>
      <c r="B54">
        <v>11106</v>
      </c>
      <c r="D54" s="2">
        <v>44979</v>
      </c>
      <c r="E54">
        <v>2700</v>
      </c>
      <c r="G54" s="2">
        <v>44979</v>
      </c>
      <c r="H54">
        <v>17</v>
      </c>
      <c r="J54" s="2">
        <v>44979</v>
      </c>
      <c r="K54">
        <v>28</v>
      </c>
      <c r="M54" s="2">
        <v>44979</v>
      </c>
      <c r="N54">
        <v>10984</v>
      </c>
      <c r="O54">
        <v>68.14</v>
      </c>
    </row>
    <row r="55" spans="1:15" ht="14.25" customHeight="1" x14ac:dyDescent="0.3">
      <c r="A55" s="2">
        <v>44980</v>
      </c>
      <c r="B55">
        <v>11963</v>
      </c>
      <c r="D55" s="2">
        <v>44980</v>
      </c>
      <c r="E55">
        <v>2634</v>
      </c>
      <c r="G55" s="2">
        <v>44980</v>
      </c>
      <c r="H55">
        <v>14</v>
      </c>
      <c r="J55" s="2">
        <v>44980</v>
      </c>
      <c r="K55">
        <v>37</v>
      </c>
      <c r="M55" s="2">
        <v>44980</v>
      </c>
      <c r="N55">
        <v>12604</v>
      </c>
      <c r="O55">
        <v>82.22</v>
      </c>
    </row>
    <row r="56" spans="1:15" ht="14.25" customHeight="1" x14ac:dyDescent="0.3">
      <c r="A56" s="2">
        <v>44981</v>
      </c>
      <c r="B56">
        <v>11787</v>
      </c>
      <c r="D56" s="2">
        <v>44981</v>
      </c>
      <c r="E56">
        <v>2332</v>
      </c>
      <c r="G56" s="2">
        <v>44981</v>
      </c>
      <c r="H56">
        <v>20</v>
      </c>
      <c r="J56" s="2">
        <v>44981</v>
      </c>
      <c r="K56">
        <v>35</v>
      </c>
      <c r="M56" s="2">
        <v>44981</v>
      </c>
      <c r="N56">
        <v>11848</v>
      </c>
      <c r="O56">
        <v>72.22</v>
      </c>
    </row>
    <row r="57" spans="1:15" ht="14.25" customHeight="1" x14ac:dyDescent="0.3">
      <c r="A57" s="2">
        <v>44982</v>
      </c>
      <c r="B57">
        <v>10024</v>
      </c>
      <c r="D57" s="2">
        <v>44982</v>
      </c>
      <c r="E57">
        <v>2800</v>
      </c>
      <c r="G57" s="2">
        <v>44982</v>
      </c>
      <c r="H57">
        <v>125</v>
      </c>
      <c r="J57" s="2">
        <v>44982</v>
      </c>
      <c r="K57">
        <v>65</v>
      </c>
      <c r="M57" s="2">
        <v>44982</v>
      </c>
      <c r="N57">
        <v>9680</v>
      </c>
      <c r="O57">
        <v>53.9</v>
      </c>
    </row>
    <row r="58" spans="1:15" ht="14.25" customHeight="1" x14ac:dyDescent="0.3">
      <c r="A58" s="2">
        <v>44983</v>
      </c>
      <c r="B58">
        <v>7369</v>
      </c>
      <c r="D58" s="2">
        <v>44983</v>
      </c>
      <c r="E58">
        <v>2424</v>
      </c>
      <c r="G58" s="2">
        <v>44983</v>
      </c>
      <c r="H58">
        <v>28</v>
      </c>
      <c r="J58" s="2">
        <v>44983</v>
      </c>
      <c r="K58">
        <v>31</v>
      </c>
      <c r="M58" s="2">
        <v>44983</v>
      </c>
      <c r="N58">
        <v>7400</v>
      </c>
      <c r="O58">
        <v>45.91</v>
      </c>
    </row>
    <row r="59" spans="1:15" ht="14.25" customHeight="1" x14ac:dyDescent="0.3">
      <c r="A59" s="2">
        <v>44984</v>
      </c>
      <c r="B59">
        <v>7720</v>
      </c>
      <c r="D59" s="2">
        <v>44984</v>
      </c>
      <c r="E59">
        <v>2667</v>
      </c>
      <c r="G59" s="2">
        <v>44984</v>
      </c>
      <c r="H59">
        <v>9</v>
      </c>
      <c r="J59" s="2">
        <v>44984</v>
      </c>
      <c r="K59">
        <v>37</v>
      </c>
      <c r="M59" s="2">
        <v>44984</v>
      </c>
      <c r="N59">
        <v>7844</v>
      </c>
      <c r="O59">
        <v>46.13</v>
      </c>
    </row>
    <row r="60" spans="1:15" ht="14.25" customHeight="1" x14ac:dyDescent="0.3">
      <c r="A60" s="2">
        <v>44985</v>
      </c>
      <c r="B60">
        <v>8842</v>
      </c>
      <c r="D60" s="2">
        <v>44985</v>
      </c>
      <c r="E60">
        <v>3150</v>
      </c>
      <c r="G60" s="2">
        <v>44985</v>
      </c>
      <c r="H60">
        <v>22</v>
      </c>
      <c r="J60" s="2">
        <v>44985</v>
      </c>
      <c r="K60">
        <v>38</v>
      </c>
      <c r="M60" s="2">
        <v>44985</v>
      </c>
      <c r="N60">
        <v>7840</v>
      </c>
      <c r="O60">
        <v>45.44</v>
      </c>
    </row>
    <row r="61" spans="1:15" ht="14.25" customHeight="1" x14ac:dyDescent="0.3">
      <c r="A61" s="2">
        <v>44986</v>
      </c>
      <c r="B61">
        <v>10137</v>
      </c>
      <c r="D61" s="2">
        <v>44986</v>
      </c>
      <c r="E61">
        <v>2761</v>
      </c>
      <c r="G61" s="2">
        <v>44986</v>
      </c>
      <c r="H61">
        <v>29</v>
      </c>
      <c r="J61" s="2">
        <v>44986</v>
      </c>
      <c r="K61">
        <v>54</v>
      </c>
      <c r="M61" s="2">
        <v>44986</v>
      </c>
      <c r="N61">
        <v>10320</v>
      </c>
      <c r="O61">
        <v>47.34</v>
      </c>
    </row>
    <row r="62" spans="1:15" ht="14.25" customHeight="1" x14ac:dyDescent="0.3">
      <c r="A62" s="2">
        <v>44987</v>
      </c>
      <c r="B62">
        <v>10248</v>
      </c>
      <c r="D62" s="2">
        <v>44987</v>
      </c>
      <c r="E62">
        <v>2685</v>
      </c>
      <c r="G62" s="2">
        <v>44987</v>
      </c>
      <c r="H62">
        <v>26</v>
      </c>
      <c r="J62" s="2">
        <v>44987</v>
      </c>
      <c r="K62">
        <v>39</v>
      </c>
      <c r="M62" s="2">
        <v>44987</v>
      </c>
      <c r="N62">
        <v>10358</v>
      </c>
      <c r="O62">
        <v>46.32</v>
      </c>
    </row>
    <row r="63" spans="1:15" ht="14.25" customHeight="1" x14ac:dyDescent="0.3">
      <c r="A63" s="2">
        <v>44988</v>
      </c>
      <c r="B63">
        <v>10156</v>
      </c>
      <c r="D63" s="2">
        <v>44988</v>
      </c>
      <c r="E63">
        <v>2711</v>
      </c>
      <c r="G63" s="2">
        <v>44988</v>
      </c>
      <c r="H63">
        <v>25</v>
      </c>
      <c r="J63" s="2">
        <v>44988</v>
      </c>
      <c r="K63">
        <v>26</v>
      </c>
      <c r="M63" s="2">
        <v>44988</v>
      </c>
      <c r="N63">
        <v>10227</v>
      </c>
      <c r="O63">
        <v>46.17</v>
      </c>
    </row>
    <row r="64" spans="1:15" ht="14.25" customHeight="1" x14ac:dyDescent="0.3">
      <c r="A64" s="2">
        <v>44989</v>
      </c>
      <c r="B64">
        <v>7804</v>
      </c>
      <c r="D64" s="2">
        <v>44989</v>
      </c>
      <c r="E64">
        <v>3245</v>
      </c>
      <c r="G64" s="2">
        <v>44989</v>
      </c>
      <c r="H64">
        <v>15</v>
      </c>
      <c r="J64" s="2">
        <v>44989</v>
      </c>
      <c r="K64">
        <v>44</v>
      </c>
      <c r="M64" s="2">
        <v>44989</v>
      </c>
      <c r="N64">
        <v>7289</v>
      </c>
      <c r="O64">
        <v>40.65</v>
      </c>
    </row>
    <row r="65" spans="1:15" ht="14.25" customHeight="1" x14ac:dyDescent="0.3">
      <c r="A65" s="2">
        <v>44990</v>
      </c>
      <c r="B65">
        <v>3164</v>
      </c>
      <c r="D65" s="2">
        <v>44990</v>
      </c>
      <c r="E65">
        <v>2207</v>
      </c>
      <c r="G65" s="2">
        <v>44990</v>
      </c>
      <c r="H65">
        <v>16</v>
      </c>
      <c r="J65" s="2">
        <v>44990</v>
      </c>
      <c r="K65">
        <v>37</v>
      </c>
      <c r="M65" s="2">
        <v>44990</v>
      </c>
      <c r="N65">
        <v>3866</v>
      </c>
      <c r="O65">
        <v>11.93</v>
      </c>
    </row>
    <row r="66" spans="1:15" ht="14.25" customHeight="1" x14ac:dyDescent="0.3">
      <c r="A66" s="2">
        <v>44991</v>
      </c>
      <c r="B66">
        <v>40</v>
      </c>
      <c r="D66" s="2">
        <v>44991</v>
      </c>
      <c r="E66">
        <v>17</v>
      </c>
      <c r="G66" s="2">
        <v>44991</v>
      </c>
      <c r="H66">
        <v>6</v>
      </c>
      <c r="J66" s="2">
        <v>44991</v>
      </c>
      <c r="K66">
        <v>6</v>
      </c>
      <c r="M66" s="2">
        <v>44991</v>
      </c>
      <c r="N66">
        <v>479</v>
      </c>
      <c r="O66">
        <v>0.32</v>
      </c>
    </row>
    <row r="67" spans="1:15" s="4" customFormat="1" ht="14.25" customHeight="1" x14ac:dyDescent="0.3">
      <c r="A67" s="3">
        <v>44992</v>
      </c>
      <c r="B67" s="4">
        <v>25</v>
      </c>
      <c r="D67" s="3">
        <v>44992</v>
      </c>
      <c r="E67" s="4">
        <v>8</v>
      </c>
      <c r="G67" s="3">
        <v>44992</v>
      </c>
      <c r="H67" s="4">
        <v>3</v>
      </c>
      <c r="J67" s="3">
        <v>44992</v>
      </c>
      <c r="K67" s="4">
        <v>5</v>
      </c>
      <c r="M67" s="3">
        <v>44992</v>
      </c>
      <c r="N67" s="4">
        <v>0</v>
      </c>
      <c r="O67" s="4">
        <v>0</v>
      </c>
    </row>
    <row r="68" spans="1:15" s="4" customFormat="1" ht="14.25" customHeight="1" x14ac:dyDescent="0.3">
      <c r="A68" s="3">
        <v>44993</v>
      </c>
      <c r="B68" s="4">
        <v>24</v>
      </c>
      <c r="D68" s="3">
        <v>44993</v>
      </c>
      <c r="E68" s="4">
        <v>4</v>
      </c>
      <c r="G68" s="3">
        <v>44993</v>
      </c>
      <c r="H68" s="4">
        <v>4</v>
      </c>
      <c r="J68" s="3">
        <v>44993</v>
      </c>
      <c r="K68" s="4">
        <v>8</v>
      </c>
      <c r="M68" s="3">
        <v>44993</v>
      </c>
      <c r="N68" s="4">
        <v>0</v>
      </c>
      <c r="O68" s="4">
        <v>0</v>
      </c>
    </row>
    <row r="69" spans="1:15" ht="14.25" customHeight="1" x14ac:dyDescent="0.3">
      <c r="A69" s="2">
        <v>44994</v>
      </c>
      <c r="B69">
        <v>3255</v>
      </c>
      <c r="D69" s="2">
        <v>44994</v>
      </c>
      <c r="E69">
        <v>2637</v>
      </c>
      <c r="G69" s="2">
        <v>44994</v>
      </c>
      <c r="H69">
        <v>7</v>
      </c>
      <c r="J69" s="2">
        <v>44994</v>
      </c>
      <c r="K69">
        <v>25</v>
      </c>
      <c r="M69" s="2">
        <v>44994</v>
      </c>
      <c r="N69">
        <v>2435</v>
      </c>
      <c r="O69">
        <v>16.27</v>
      </c>
    </row>
    <row r="70" spans="1:15" ht="14.25" customHeight="1" x14ac:dyDescent="0.3">
      <c r="A70" s="2">
        <v>44995</v>
      </c>
      <c r="B70">
        <v>5049</v>
      </c>
      <c r="D70" s="2">
        <v>44995</v>
      </c>
      <c r="E70">
        <v>3386</v>
      </c>
      <c r="G70" s="2">
        <v>44995</v>
      </c>
      <c r="H70">
        <v>2</v>
      </c>
      <c r="J70" s="2">
        <v>44995</v>
      </c>
      <c r="K70">
        <v>40</v>
      </c>
      <c r="M70" s="2">
        <v>44995</v>
      </c>
      <c r="N70">
        <v>4872</v>
      </c>
      <c r="O70">
        <v>38.549999999999997</v>
      </c>
    </row>
    <row r="71" spans="1:15" ht="14.25" customHeight="1" x14ac:dyDescent="0.3">
      <c r="A71" s="2">
        <v>44996</v>
      </c>
      <c r="B71">
        <v>5188</v>
      </c>
      <c r="D71" s="2">
        <v>44996</v>
      </c>
      <c r="E71">
        <v>3081</v>
      </c>
      <c r="G71" s="2">
        <v>44996</v>
      </c>
      <c r="H71">
        <v>50</v>
      </c>
      <c r="J71" s="2">
        <v>44996</v>
      </c>
      <c r="K71">
        <v>45</v>
      </c>
      <c r="M71" s="2">
        <v>44996</v>
      </c>
      <c r="N71">
        <v>4851</v>
      </c>
      <c r="O71">
        <v>39.28</v>
      </c>
    </row>
    <row r="72" spans="1:15" ht="14.25" customHeight="1" x14ac:dyDescent="0.3">
      <c r="A72" s="2">
        <v>44997</v>
      </c>
      <c r="B72">
        <v>4188</v>
      </c>
      <c r="D72" s="2">
        <v>44997</v>
      </c>
      <c r="E72">
        <v>2152</v>
      </c>
      <c r="G72" s="2">
        <v>44997</v>
      </c>
      <c r="H72">
        <v>23</v>
      </c>
      <c r="J72" s="2">
        <v>44997</v>
      </c>
      <c r="K72">
        <v>17</v>
      </c>
      <c r="M72" s="2">
        <v>44997</v>
      </c>
      <c r="N72">
        <v>4086</v>
      </c>
      <c r="O72">
        <v>37.97</v>
      </c>
    </row>
    <row r="73" spans="1:15" ht="14.25" customHeight="1" x14ac:dyDescent="0.3">
      <c r="A73" s="2">
        <v>44998</v>
      </c>
      <c r="B73">
        <v>1760</v>
      </c>
      <c r="D73" s="2">
        <v>44998</v>
      </c>
      <c r="E73">
        <v>153</v>
      </c>
      <c r="G73" s="2">
        <v>44998</v>
      </c>
      <c r="H73">
        <v>5</v>
      </c>
      <c r="J73" s="2">
        <v>44998</v>
      </c>
      <c r="K73">
        <v>3</v>
      </c>
      <c r="M73" s="2">
        <v>44998</v>
      </c>
      <c r="N73">
        <v>2117</v>
      </c>
      <c r="O73">
        <v>7.84</v>
      </c>
    </row>
    <row r="74" spans="1:15" ht="14.25" customHeight="1" x14ac:dyDescent="0.3">
      <c r="A74" s="2">
        <v>44999</v>
      </c>
      <c r="B74">
        <v>1880</v>
      </c>
      <c r="D74" s="2">
        <v>44999</v>
      </c>
      <c r="E74">
        <v>813</v>
      </c>
      <c r="G74" s="2">
        <v>44999</v>
      </c>
      <c r="H74">
        <v>18</v>
      </c>
      <c r="J74" s="2">
        <v>44999</v>
      </c>
      <c r="K74">
        <v>36</v>
      </c>
      <c r="M74" s="2">
        <v>44999</v>
      </c>
      <c r="N74">
        <v>1500</v>
      </c>
      <c r="O74">
        <v>2.0099999999999998</v>
      </c>
    </row>
    <row r="75" spans="1:15" ht="14.25" customHeight="1" x14ac:dyDescent="0.3">
      <c r="A75" s="2">
        <v>45000</v>
      </c>
      <c r="B75">
        <v>1554</v>
      </c>
      <c r="D75" s="2">
        <v>45000</v>
      </c>
      <c r="E75">
        <v>273</v>
      </c>
      <c r="G75" s="2">
        <v>45000</v>
      </c>
      <c r="H75">
        <v>9</v>
      </c>
      <c r="J75" s="2">
        <v>45000</v>
      </c>
      <c r="K75">
        <v>6</v>
      </c>
      <c r="M75" s="2">
        <v>45000</v>
      </c>
      <c r="N75">
        <v>1471</v>
      </c>
      <c r="O75">
        <v>2.04</v>
      </c>
    </row>
    <row r="76" spans="1:15" ht="14.25" customHeight="1" x14ac:dyDescent="0.3">
      <c r="A76" s="2">
        <v>45001</v>
      </c>
      <c r="B76">
        <v>1562</v>
      </c>
      <c r="D76" s="2">
        <v>45001</v>
      </c>
      <c r="E76">
        <v>186</v>
      </c>
      <c r="G76" s="2">
        <v>45001</v>
      </c>
      <c r="H76">
        <v>6</v>
      </c>
      <c r="J76" s="2">
        <v>45001</v>
      </c>
      <c r="K76">
        <v>12</v>
      </c>
      <c r="M76" s="2">
        <v>45001</v>
      </c>
      <c r="N76">
        <v>1455</v>
      </c>
      <c r="O76">
        <v>1.95</v>
      </c>
    </row>
    <row r="77" spans="1:15" ht="14.25" customHeight="1" x14ac:dyDescent="0.3">
      <c r="A77" s="2">
        <v>45002</v>
      </c>
      <c r="B77">
        <v>1643</v>
      </c>
      <c r="D77" s="2">
        <v>45002</v>
      </c>
      <c r="E77">
        <v>155</v>
      </c>
      <c r="G77" s="2">
        <v>45002</v>
      </c>
      <c r="H77">
        <v>6</v>
      </c>
      <c r="J77" s="2">
        <v>45002</v>
      </c>
      <c r="K77">
        <v>16</v>
      </c>
      <c r="M77" s="2">
        <v>45002</v>
      </c>
      <c r="N77">
        <v>1518</v>
      </c>
      <c r="O77">
        <v>2.0499999999999998</v>
      </c>
    </row>
    <row r="78" spans="1:15" ht="14.25" customHeight="1" x14ac:dyDescent="0.3">
      <c r="A78" s="2">
        <v>45003</v>
      </c>
      <c r="B78">
        <v>1818</v>
      </c>
      <c r="D78" s="2">
        <v>45003</v>
      </c>
      <c r="E78">
        <v>158</v>
      </c>
      <c r="G78" s="2">
        <v>45003</v>
      </c>
      <c r="H78">
        <v>7</v>
      </c>
      <c r="J78" s="2">
        <v>45003</v>
      </c>
      <c r="K78">
        <v>7</v>
      </c>
      <c r="M78" s="2">
        <v>45003</v>
      </c>
      <c r="N78">
        <v>1714</v>
      </c>
      <c r="O78">
        <v>1.97</v>
      </c>
    </row>
    <row r="79" spans="1:15" ht="14.25" customHeight="1" x14ac:dyDescent="0.3">
      <c r="A79" s="2">
        <v>45004</v>
      </c>
      <c r="B79">
        <v>1723</v>
      </c>
      <c r="D79" s="2">
        <v>45004</v>
      </c>
      <c r="E79">
        <v>137</v>
      </c>
      <c r="G79" s="2">
        <v>45004</v>
      </c>
      <c r="H79">
        <v>7</v>
      </c>
      <c r="J79" s="2">
        <v>45004</v>
      </c>
      <c r="K79">
        <v>8</v>
      </c>
      <c r="M79" s="2">
        <v>45004</v>
      </c>
      <c r="N79">
        <v>1781</v>
      </c>
      <c r="O79">
        <v>1.97</v>
      </c>
    </row>
    <row r="80" spans="1:15" ht="14.25" customHeight="1" x14ac:dyDescent="0.3">
      <c r="A80" s="2">
        <v>45005</v>
      </c>
      <c r="B80">
        <v>1787</v>
      </c>
      <c r="D80" s="2">
        <v>45005</v>
      </c>
      <c r="E80">
        <v>165</v>
      </c>
      <c r="G80" s="2">
        <v>45005</v>
      </c>
      <c r="H80">
        <v>10</v>
      </c>
      <c r="J80" s="2">
        <v>45005</v>
      </c>
      <c r="K80">
        <v>9</v>
      </c>
      <c r="M80" s="2">
        <v>45005</v>
      </c>
      <c r="N80">
        <v>1695</v>
      </c>
      <c r="O80">
        <v>2.0099999999999998</v>
      </c>
    </row>
    <row r="81" spans="1:15" ht="14.25" customHeight="1" x14ac:dyDescent="0.3">
      <c r="A81" s="2">
        <v>45006</v>
      </c>
      <c r="B81">
        <v>2066</v>
      </c>
      <c r="D81" s="2">
        <v>45006</v>
      </c>
      <c r="E81">
        <v>214</v>
      </c>
      <c r="G81" s="2">
        <v>45006</v>
      </c>
      <c r="H81">
        <v>5</v>
      </c>
      <c r="J81" s="2">
        <v>45006</v>
      </c>
      <c r="K81">
        <v>6</v>
      </c>
      <c r="M81" s="2">
        <v>45006</v>
      </c>
      <c r="N81">
        <v>2102</v>
      </c>
      <c r="O81">
        <v>2.34</v>
      </c>
    </row>
    <row r="82" spans="1:15" ht="14.25" customHeight="1" x14ac:dyDescent="0.3">
      <c r="A82" s="2">
        <v>45007</v>
      </c>
      <c r="B82">
        <v>2127</v>
      </c>
      <c r="D82" s="2">
        <v>45007</v>
      </c>
      <c r="E82">
        <v>435</v>
      </c>
      <c r="G82" s="2">
        <v>45007</v>
      </c>
      <c r="H82">
        <v>9</v>
      </c>
      <c r="J82" s="2">
        <v>45007</v>
      </c>
      <c r="K82">
        <v>9</v>
      </c>
      <c r="M82" s="2">
        <v>45007</v>
      </c>
      <c r="N82">
        <v>2296</v>
      </c>
      <c r="O82">
        <v>9.66</v>
      </c>
    </row>
    <row r="83" spans="1:15" ht="14.25" customHeight="1" x14ac:dyDescent="0.3">
      <c r="A83" s="2">
        <v>45008</v>
      </c>
      <c r="B83">
        <v>1345</v>
      </c>
      <c r="D83" s="2">
        <v>45008</v>
      </c>
      <c r="E83">
        <v>261</v>
      </c>
      <c r="G83" s="2">
        <v>45008</v>
      </c>
      <c r="H83">
        <v>2</v>
      </c>
      <c r="J83" s="2">
        <v>45008</v>
      </c>
      <c r="K83">
        <v>8</v>
      </c>
      <c r="M83" s="2">
        <v>45008</v>
      </c>
      <c r="N83">
        <v>942</v>
      </c>
      <c r="O83">
        <v>10</v>
      </c>
    </row>
    <row r="84" spans="1:15" ht="14.25" customHeight="1" x14ac:dyDescent="0.3">
      <c r="A84" s="2">
        <v>45009</v>
      </c>
      <c r="B84">
        <v>3245</v>
      </c>
      <c r="D84" s="2">
        <v>45009</v>
      </c>
      <c r="E84">
        <v>604</v>
      </c>
      <c r="G84" s="2">
        <v>45009</v>
      </c>
      <c r="H84">
        <v>11</v>
      </c>
      <c r="J84" s="2">
        <v>45009</v>
      </c>
      <c r="K84">
        <v>21</v>
      </c>
      <c r="M84" s="2">
        <v>45009</v>
      </c>
      <c r="N84">
        <v>2870</v>
      </c>
      <c r="O84">
        <v>24.17</v>
      </c>
    </row>
    <row r="85" spans="1:15" ht="14.25" customHeight="1" x14ac:dyDescent="0.3">
      <c r="A85" s="2">
        <v>45010</v>
      </c>
      <c r="B85">
        <v>3666</v>
      </c>
      <c r="D85" s="2">
        <v>45010</v>
      </c>
      <c r="E85">
        <v>866</v>
      </c>
      <c r="G85" s="2">
        <v>45010</v>
      </c>
      <c r="H85">
        <v>14</v>
      </c>
      <c r="J85" s="2">
        <v>45010</v>
      </c>
      <c r="K85">
        <v>23</v>
      </c>
      <c r="M85" s="2">
        <v>45010</v>
      </c>
      <c r="N85">
        <v>3593</v>
      </c>
      <c r="O85">
        <v>26.83</v>
      </c>
    </row>
    <row r="86" spans="1:15" ht="14.25" customHeight="1" x14ac:dyDescent="0.3">
      <c r="A86" s="2">
        <v>45011</v>
      </c>
      <c r="B86">
        <v>3982</v>
      </c>
      <c r="D86" s="2">
        <v>45011</v>
      </c>
      <c r="E86">
        <v>950</v>
      </c>
      <c r="G86" s="2">
        <v>45011</v>
      </c>
      <c r="H86">
        <v>12</v>
      </c>
      <c r="J86" s="2">
        <v>45011</v>
      </c>
      <c r="K86">
        <v>16</v>
      </c>
      <c r="M86" s="2">
        <v>45011</v>
      </c>
      <c r="N86">
        <v>3998</v>
      </c>
      <c r="O86">
        <v>34.57</v>
      </c>
    </row>
    <row r="87" spans="1:15" ht="14.25" customHeight="1" x14ac:dyDescent="0.3">
      <c r="A87" s="2">
        <v>45012</v>
      </c>
      <c r="B87">
        <v>4626</v>
      </c>
      <c r="D87" s="2">
        <v>45012</v>
      </c>
      <c r="E87">
        <v>760</v>
      </c>
      <c r="G87" s="2">
        <v>45012</v>
      </c>
      <c r="H87">
        <v>13</v>
      </c>
      <c r="J87" s="2">
        <v>45012</v>
      </c>
      <c r="K87">
        <v>18</v>
      </c>
      <c r="M87" s="2">
        <v>45012</v>
      </c>
      <c r="N87">
        <v>4388</v>
      </c>
      <c r="O87">
        <v>32.729999999999997</v>
      </c>
    </row>
    <row r="88" spans="1:15" ht="14.25" customHeight="1" x14ac:dyDescent="0.3">
      <c r="A88" s="2">
        <v>45013</v>
      </c>
      <c r="B88">
        <v>4053</v>
      </c>
      <c r="D88" s="2">
        <v>45013</v>
      </c>
      <c r="E88">
        <v>690</v>
      </c>
      <c r="G88" s="2">
        <v>45013</v>
      </c>
      <c r="H88">
        <v>9</v>
      </c>
      <c r="J88" s="2">
        <v>45013</v>
      </c>
      <c r="K88">
        <v>11</v>
      </c>
      <c r="M88" s="2">
        <v>45013</v>
      </c>
      <c r="N88">
        <v>4471</v>
      </c>
      <c r="O88">
        <v>21.44</v>
      </c>
    </row>
    <row r="89" spans="1:15" ht="14.25" customHeight="1" x14ac:dyDescent="0.3">
      <c r="A89" s="2">
        <v>45014</v>
      </c>
      <c r="B89">
        <v>5238</v>
      </c>
      <c r="D89" s="2">
        <v>45014</v>
      </c>
      <c r="E89">
        <v>1054</v>
      </c>
      <c r="G89" s="2">
        <v>45014</v>
      </c>
      <c r="H89">
        <v>22</v>
      </c>
      <c r="J89" s="2">
        <v>45014</v>
      </c>
      <c r="K89">
        <v>16</v>
      </c>
      <c r="M89" s="2">
        <v>45014</v>
      </c>
      <c r="N89">
        <v>4394</v>
      </c>
      <c r="O89">
        <v>25.69</v>
      </c>
    </row>
    <row r="90" spans="1:15" ht="14.25" customHeight="1" x14ac:dyDescent="0.3">
      <c r="A90" s="2">
        <v>45015</v>
      </c>
      <c r="B90">
        <v>6223</v>
      </c>
      <c r="D90" s="2">
        <v>45015</v>
      </c>
      <c r="E90">
        <v>737</v>
      </c>
      <c r="G90" s="2">
        <v>45015</v>
      </c>
      <c r="H90">
        <v>15</v>
      </c>
      <c r="J90" s="2">
        <v>45015</v>
      </c>
      <c r="K90">
        <v>17</v>
      </c>
      <c r="M90" s="2">
        <v>45015</v>
      </c>
      <c r="N90">
        <v>5994</v>
      </c>
      <c r="O90">
        <v>54.89</v>
      </c>
    </row>
    <row r="91" spans="1:15" ht="14.25" customHeight="1" x14ac:dyDescent="0.3">
      <c r="A91" s="2">
        <v>45016</v>
      </c>
      <c r="B91">
        <v>6534</v>
      </c>
      <c r="D91" s="2">
        <v>45016</v>
      </c>
      <c r="E91">
        <v>678</v>
      </c>
      <c r="G91" s="2">
        <v>45016</v>
      </c>
      <c r="H91">
        <v>31</v>
      </c>
      <c r="J91" s="2">
        <v>45016</v>
      </c>
      <c r="K91">
        <v>33</v>
      </c>
      <c r="M91" s="2">
        <v>45016</v>
      </c>
      <c r="N91">
        <v>6772</v>
      </c>
      <c r="O91">
        <v>53.87</v>
      </c>
    </row>
    <row r="92" spans="1:15" ht="14.25" customHeight="1" x14ac:dyDescent="0.3">
      <c r="A92" s="2">
        <v>45017</v>
      </c>
      <c r="B92">
        <v>7705</v>
      </c>
      <c r="D92" s="2">
        <v>45017</v>
      </c>
      <c r="E92">
        <v>544</v>
      </c>
      <c r="G92" s="2">
        <v>45017</v>
      </c>
      <c r="H92">
        <v>14</v>
      </c>
      <c r="J92" s="2">
        <v>45017</v>
      </c>
      <c r="K92">
        <v>4</v>
      </c>
      <c r="M92" s="2">
        <v>45017</v>
      </c>
      <c r="N92">
        <v>7464</v>
      </c>
      <c r="O92">
        <v>58.28</v>
      </c>
    </row>
    <row r="93" spans="1:15" ht="14.25" customHeight="1" x14ac:dyDescent="0.3">
      <c r="A93" s="2">
        <v>45018</v>
      </c>
      <c r="B93">
        <v>6794</v>
      </c>
      <c r="D93" s="2">
        <v>45018</v>
      </c>
      <c r="E93">
        <v>509</v>
      </c>
      <c r="G93" s="2">
        <v>45018</v>
      </c>
      <c r="H93">
        <v>15</v>
      </c>
      <c r="J93" s="2">
        <v>45018</v>
      </c>
      <c r="K93">
        <v>7</v>
      </c>
      <c r="M93" s="2">
        <v>45018</v>
      </c>
      <c r="N93">
        <v>6824</v>
      </c>
      <c r="O93">
        <v>58.46</v>
      </c>
    </row>
    <row r="94" spans="1:15" ht="14.25" customHeight="1" x14ac:dyDescent="0.3">
      <c r="A94" s="2">
        <v>45019</v>
      </c>
      <c r="B94">
        <v>7751</v>
      </c>
      <c r="D94" s="2">
        <v>45019</v>
      </c>
      <c r="E94">
        <v>837</v>
      </c>
      <c r="G94" s="2">
        <v>45019</v>
      </c>
      <c r="H94">
        <v>13</v>
      </c>
      <c r="J94" s="2">
        <v>45019</v>
      </c>
      <c r="K94">
        <v>11</v>
      </c>
      <c r="M94" s="2">
        <v>45019</v>
      </c>
      <c r="N94">
        <v>7406</v>
      </c>
      <c r="O94">
        <v>58.01</v>
      </c>
    </row>
    <row r="95" spans="1:15" ht="14.25" customHeight="1" x14ac:dyDescent="0.3">
      <c r="A95" s="2">
        <v>45020</v>
      </c>
      <c r="B95">
        <v>8552</v>
      </c>
      <c r="D95" s="2">
        <v>45020</v>
      </c>
      <c r="E95">
        <v>1537</v>
      </c>
      <c r="G95" s="2">
        <v>45020</v>
      </c>
      <c r="H95">
        <v>14</v>
      </c>
      <c r="J95" s="2">
        <v>45020</v>
      </c>
      <c r="K95">
        <v>18</v>
      </c>
      <c r="M95" s="2">
        <v>45020</v>
      </c>
      <c r="N95">
        <v>8572</v>
      </c>
      <c r="O95">
        <v>58.81</v>
      </c>
    </row>
    <row r="96" spans="1:15" ht="14.25" customHeight="1" x14ac:dyDescent="0.3">
      <c r="A96" s="2">
        <v>45021</v>
      </c>
      <c r="B96">
        <v>6691</v>
      </c>
      <c r="D96" s="2">
        <v>45021</v>
      </c>
      <c r="E96">
        <v>770</v>
      </c>
      <c r="G96" s="2">
        <v>45021</v>
      </c>
      <c r="H96">
        <v>16</v>
      </c>
      <c r="J96" s="2">
        <v>45021</v>
      </c>
      <c r="K96">
        <v>16</v>
      </c>
      <c r="M96" s="2">
        <v>45021</v>
      </c>
      <c r="N96">
        <v>6654</v>
      </c>
      <c r="O96">
        <v>54.08</v>
      </c>
    </row>
    <row r="97" spans="1:15" ht="14.25" customHeight="1" x14ac:dyDescent="0.3">
      <c r="A97" s="2">
        <v>45022</v>
      </c>
      <c r="B97">
        <v>4957</v>
      </c>
      <c r="D97" s="2">
        <v>45022</v>
      </c>
      <c r="E97">
        <v>450</v>
      </c>
      <c r="G97" s="2">
        <v>45022</v>
      </c>
      <c r="H97">
        <v>13</v>
      </c>
      <c r="J97" s="2">
        <v>45022</v>
      </c>
      <c r="K97">
        <v>6</v>
      </c>
      <c r="M97" s="2">
        <v>45022</v>
      </c>
      <c r="N97">
        <v>5326</v>
      </c>
      <c r="O97">
        <v>42.64</v>
      </c>
    </row>
    <row r="98" spans="1:15" ht="14.25" customHeight="1" x14ac:dyDescent="0.3">
      <c r="A98" s="2">
        <v>45023</v>
      </c>
      <c r="B98">
        <v>5545</v>
      </c>
      <c r="D98" s="2">
        <v>45023</v>
      </c>
      <c r="E98">
        <v>1152</v>
      </c>
      <c r="G98" s="2">
        <v>45023</v>
      </c>
      <c r="H98">
        <v>12</v>
      </c>
      <c r="J98" s="2">
        <v>45023</v>
      </c>
      <c r="K98">
        <v>26</v>
      </c>
      <c r="M98" s="2">
        <v>45023</v>
      </c>
      <c r="N98">
        <v>5188</v>
      </c>
      <c r="O98">
        <v>34.299999999999997</v>
      </c>
    </row>
    <row r="99" spans="1:15" ht="14.25" customHeight="1" x14ac:dyDescent="0.3">
      <c r="A99" s="2">
        <v>45024</v>
      </c>
      <c r="B99">
        <v>5768</v>
      </c>
      <c r="D99" s="2">
        <v>45024</v>
      </c>
      <c r="E99">
        <v>1043</v>
      </c>
      <c r="G99" s="2">
        <v>45024</v>
      </c>
      <c r="H99">
        <v>10</v>
      </c>
      <c r="J99" s="2">
        <v>45024</v>
      </c>
      <c r="K99">
        <v>21</v>
      </c>
      <c r="M99" s="2">
        <v>45024</v>
      </c>
      <c r="N99">
        <v>5684</v>
      </c>
      <c r="O99">
        <v>42.42</v>
      </c>
    </row>
    <row r="100" spans="1:15" ht="14.25" customHeight="1" x14ac:dyDescent="0.3">
      <c r="A100" s="2">
        <v>45025</v>
      </c>
      <c r="B100">
        <v>5922</v>
      </c>
      <c r="D100" s="2">
        <v>45025</v>
      </c>
      <c r="E100">
        <v>1147</v>
      </c>
      <c r="G100" s="2">
        <v>45025</v>
      </c>
      <c r="H100">
        <v>11</v>
      </c>
      <c r="J100" s="2">
        <v>45025</v>
      </c>
      <c r="K100">
        <v>17</v>
      </c>
      <c r="M100" s="2">
        <v>45025</v>
      </c>
      <c r="N100">
        <v>5466</v>
      </c>
      <c r="O100">
        <v>38.97</v>
      </c>
    </row>
    <row r="101" spans="1:15" ht="14.25" customHeight="1" x14ac:dyDescent="0.3">
      <c r="A101" s="2">
        <v>45026</v>
      </c>
      <c r="B101">
        <v>6165</v>
      </c>
      <c r="D101" s="2">
        <v>45026</v>
      </c>
      <c r="E101">
        <v>689</v>
      </c>
      <c r="G101" s="2">
        <v>45026</v>
      </c>
      <c r="H101">
        <v>9</v>
      </c>
      <c r="J101" s="2">
        <v>45026</v>
      </c>
      <c r="K101">
        <v>9</v>
      </c>
      <c r="M101" s="2">
        <v>45026</v>
      </c>
      <c r="N101">
        <v>6326</v>
      </c>
      <c r="O101">
        <v>39.28</v>
      </c>
    </row>
    <row r="102" spans="1:15" ht="14.25" customHeight="1" x14ac:dyDescent="0.3">
      <c r="A102" s="2">
        <v>45027</v>
      </c>
      <c r="B102">
        <v>5272</v>
      </c>
      <c r="D102" s="2">
        <v>45027</v>
      </c>
      <c r="E102">
        <v>1058</v>
      </c>
      <c r="G102" s="2">
        <v>45027</v>
      </c>
      <c r="H102">
        <v>6</v>
      </c>
      <c r="J102" s="2">
        <v>45027</v>
      </c>
      <c r="K102">
        <v>29</v>
      </c>
      <c r="M102" s="2">
        <v>45027</v>
      </c>
      <c r="N102">
        <v>5270</v>
      </c>
      <c r="O102">
        <v>50.53</v>
      </c>
    </row>
    <row r="103" spans="1:15" ht="14.25" customHeight="1" x14ac:dyDescent="0.3">
      <c r="A103" s="2">
        <v>45028</v>
      </c>
      <c r="B103">
        <v>8970</v>
      </c>
      <c r="D103" s="2">
        <v>45028</v>
      </c>
      <c r="E103">
        <v>1164</v>
      </c>
      <c r="G103" s="2">
        <v>45028</v>
      </c>
      <c r="H103">
        <v>22</v>
      </c>
      <c r="J103" s="2">
        <v>45028</v>
      </c>
      <c r="K103">
        <v>12</v>
      </c>
      <c r="M103" s="2">
        <v>45028</v>
      </c>
      <c r="N103">
        <v>8122</v>
      </c>
      <c r="O103">
        <v>60.15</v>
      </c>
    </row>
    <row r="104" spans="1:15" ht="14.25" customHeight="1" x14ac:dyDescent="0.3">
      <c r="A104" s="2">
        <v>45029</v>
      </c>
      <c r="B104">
        <v>8886</v>
      </c>
      <c r="D104" s="2">
        <v>45029</v>
      </c>
      <c r="E104">
        <v>604</v>
      </c>
      <c r="G104" s="2">
        <v>45029</v>
      </c>
      <c r="H104">
        <v>17</v>
      </c>
      <c r="J104" s="2">
        <v>45029</v>
      </c>
      <c r="K104">
        <v>17</v>
      </c>
      <c r="M104" s="2">
        <v>45029</v>
      </c>
      <c r="N104">
        <v>9658</v>
      </c>
      <c r="O104">
        <v>55.21</v>
      </c>
    </row>
    <row r="105" spans="1:15" ht="14.25" customHeight="1" x14ac:dyDescent="0.3">
      <c r="A105" s="2">
        <v>45030</v>
      </c>
      <c r="B105">
        <v>5240</v>
      </c>
      <c r="D105" s="2">
        <v>45030</v>
      </c>
      <c r="E105">
        <v>801</v>
      </c>
      <c r="G105" s="2">
        <v>45030</v>
      </c>
      <c r="H105">
        <v>9</v>
      </c>
      <c r="J105" s="2">
        <v>45030</v>
      </c>
      <c r="K105">
        <v>18</v>
      </c>
      <c r="M105" s="2">
        <v>45030</v>
      </c>
      <c r="N105">
        <v>5152</v>
      </c>
      <c r="O105">
        <v>42.86</v>
      </c>
    </row>
    <row r="106" spans="1:15" ht="14.25" customHeight="1" x14ac:dyDescent="0.3">
      <c r="A106" s="2">
        <v>45031</v>
      </c>
      <c r="B106">
        <v>5562</v>
      </c>
      <c r="D106" s="2">
        <v>45031</v>
      </c>
      <c r="E106">
        <v>810</v>
      </c>
      <c r="G106" s="2">
        <v>45031</v>
      </c>
      <c r="H106">
        <v>8</v>
      </c>
      <c r="J106" s="2">
        <v>45031</v>
      </c>
      <c r="K106">
        <v>15</v>
      </c>
      <c r="M106" s="2">
        <v>45031</v>
      </c>
      <c r="N106">
        <v>4867</v>
      </c>
      <c r="O106">
        <v>32.99</v>
      </c>
    </row>
    <row r="107" spans="1:15" ht="14.25" customHeight="1" x14ac:dyDescent="0.3">
      <c r="A107" s="2">
        <v>45032</v>
      </c>
      <c r="B107">
        <v>11916</v>
      </c>
      <c r="D107" s="2">
        <v>45032</v>
      </c>
      <c r="E107">
        <v>3067</v>
      </c>
      <c r="G107" s="2">
        <v>45032</v>
      </c>
      <c r="H107">
        <v>20</v>
      </c>
      <c r="J107" s="2">
        <v>45032</v>
      </c>
      <c r="K107">
        <v>55</v>
      </c>
      <c r="M107" s="2">
        <v>45032</v>
      </c>
      <c r="N107">
        <v>12276</v>
      </c>
      <c r="O107">
        <v>69.400000000000006</v>
      </c>
    </row>
    <row r="108" spans="1:15" ht="14.25" customHeight="1" x14ac:dyDescent="0.3">
      <c r="A108" s="2">
        <v>45033</v>
      </c>
      <c r="B108">
        <v>14145</v>
      </c>
      <c r="D108" s="2">
        <v>45033</v>
      </c>
      <c r="E108">
        <v>3230</v>
      </c>
      <c r="G108" s="2">
        <v>45033</v>
      </c>
      <c r="H108">
        <v>41</v>
      </c>
      <c r="J108" s="2">
        <v>45033</v>
      </c>
      <c r="K108">
        <v>55</v>
      </c>
      <c r="M108" s="2">
        <v>45033</v>
      </c>
      <c r="N108">
        <v>14244</v>
      </c>
      <c r="O108">
        <v>74.5</v>
      </c>
    </row>
    <row r="109" spans="1:15" ht="14.25" customHeight="1" x14ac:dyDescent="0.3">
      <c r="A109" s="2">
        <v>45034</v>
      </c>
      <c r="B109">
        <v>12940</v>
      </c>
      <c r="D109" s="2">
        <v>45034</v>
      </c>
      <c r="E109">
        <v>3488</v>
      </c>
      <c r="G109" s="2">
        <v>45034</v>
      </c>
      <c r="H109">
        <v>27</v>
      </c>
      <c r="J109" s="2">
        <v>45034</v>
      </c>
      <c r="K109">
        <v>69</v>
      </c>
      <c r="M109" s="2">
        <v>45034</v>
      </c>
      <c r="N109">
        <v>13116</v>
      </c>
      <c r="O109">
        <v>72.099999999999994</v>
      </c>
    </row>
    <row r="110" spans="1:15" ht="14.25" customHeight="1" x14ac:dyDescent="0.3">
      <c r="A110" s="2">
        <v>45035</v>
      </c>
      <c r="B110">
        <v>11712</v>
      </c>
      <c r="D110" s="2">
        <v>45035</v>
      </c>
      <c r="E110">
        <v>1974</v>
      </c>
      <c r="G110" s="2">
        <v>45035</v>
      </c>
      <c r="H110">
        <v>18</v>
      </c>
      <c r="J110" s="2">
        <v>45035</v>
      </c>
      <c r="K110">
        <v>31</v>
      </c>
      <c r="M110" s="2">
        <v>45035</v>
      </c>
      <c r="N110">
        <v>11720</v>
      </c>
      <c r="O110">
        <v>69.05</v>
      </c>
    </row>
    <row r="111" spans="1:15" ht="14.25" customHeight="1" x14ac:dyDescent="0.3">
      <c r="A111" s="2">
        <v>45036</v>
      </c>
      <c r="B111">
        <v>14462</v>
      </c>
      <c r="D111" s="2">
        <v>45036</v>
      </c>
      <c r="E111">
        <v>4032</v>
      </c>
      <c r="G111" s="2">
        <v>45036</v>
      </c>
      <c r="H111">
        <v>20</v>
      </c>
      <c r="J111" s="2">
        <v>45036</v>
      </c>
      <c r="K111">
        <v>44</v>
      </c>
      <c r="M111" s="2">
        <v>45036</v>
      </c>
      <c r="N111">
        <v>13760</v>
      </c>
      <c r="O111">
        <v>94.27</v>
      </c>
    </row>
    <row r="112" spans="1:15" ht="14.25" customHeight="1" x14ac:dyDescent="0.3">
      <c r="A112" s="2">
        <v>45037</v>
      </c>
      <c r="B112">
        <v>12502</v>
      </c>
      <c r="D112" s="2">
        <v>45037</v>
      </c>
      <c r="E112">
        <v>2237</v>
      </c>
      <c r="G112" s="2">
        <v>45037</v>
      </c>
      <c r="H112">
        <v>22</v>
      </c>
      <c r="J112" s="2">
        <v>45037</v>
      </c>
      <c r="K112">
        <v>27</v>
      </c>
      <c r="M112" s="2">
        <v>45037</v>
      </c>
      <c r="N112">
        <v>12973</v>
      </c>
      <c r="O112">
        <v>112.54</v>
      </c>
    </row>
    <row r="113" spans="1:15" ht="14.25" customHeight="1" x14ac:dyDescent="0.3">
      <c r="A113" s="2">
        <v>45038</v>
      </c>
      <c r="B113">
        <v>14290</v>
      </c>
      <c r="D113" s="2">
        <v>45038</v>
      </c>
      <c r="E113">
        <v>1852</v>
      </c>
      <c r="G113" s="2">
        <v>45038</v>
      </c>
      <c r="H113">
        <v>12</v>
      </c>
      <c r="J113" s="2">
        <v>45038</v>
      </c>
      <c r="K113">
        <v>28</v>
      </c>
      <c r="M113" s="2">
        <v>45038</v>
      </c>
      <c r="N113">
        <v>13944</v>
      </c>
      <c r="O113">
        <v>121.27</v>
      </c>
    </row>
    <row r="114" spans="1:15" ht="14.25" customHeight="1" x14ac:dyDescent="0.3">
      <c r="A114" s="2">
        <v>45039</v>
      </c>
      <c r="B114">
        <v>13276</v>
      </c>
      <c r="D114" s="2">
        <v>45039</v>
      </c>
      <c r="E114">
        <v>1637</v>
      </c>
      <c r="G114" s="2">
        <v>45039</v>
      </c>
      <c r="H114">
        <v>16</v>
      </c>
      <c r="J114" s="2">
        <v>45039</v>
      </c>
      <c r="K114">
        <v>27</v>
      </c>
      <c r="M114" s="2">
        <v>45039</v>
      </c>
      <c r="N114">
        <v>13168</v>
      </c>
      <c r="O114">
        <v>122.55</v>
      </c>
    </row>
    <row r="115" spans="1:15" ht="14.25" customHeight="1" x14ac:dyDescent="0.3">
      <c r="A115" s="2">
        <v>45040</v>
      </c>
      <c r="B115">
        <v>12528</v>
      </c>
      <c r="D115" s="2">
        <v>45040</v>
      </c>
      <c r="E115">
        <v>1772</v>
      </c>
      <c r="G115" s="2">
        <v>45040</v>
      </c>
      <c r="H115">
        <v>19</v>
      </c>
      <c r="J115" s="2">
        <v>45040</v>
      </c>
      <c r="K115">
        <v>53</v>
      </c>
      <c r="M115" s="2">
        <v>45040</v>
      </c>
      <c r="N115">
        <v>12852</v>
      </c>
      <c r="O115">
        <v>98.11</v>
      </c>
    </row>
    <row r="116" spans="1:15" ht="14.25" customHeight="1" x14ac:dyDescent="0.3">
      <c r="A116" s="2">
        <v>45041</v>
      </c>
      <c r="B116">
        <v>12930</v>
      </c>
      <c r="D116" s="2">
        <v>45041</v>
      </c>
      <c r="E116">
        <v>2243</v>
      </c>
      <c r="G116" s="2">
        <v>45041</v>
      </c>
      <c r="H116">
        <v>24</v>
      </c>
      <c r="J116" s="2">
        <v>45041</v>
      </c>
      <c r="K116">
        <v>54</v>
      </c>
      <c r="M116" s="2">
        <v>45041</v>
      </c>
      <c r="N116">
        <v>12124</v>
      </c>
      <c r="O116">
        <v>70.37</v>
      </c>
    </row>
    <row r="117" spans="1:15" ht="14.25" customHeight="1" x14ac:dyDescent="0.3">
      <c r="A117" s="2">
        <v>45042</v>
      </c>
      <c r="B117">
        <v>14441</v>
      </c>
      <c r="D117" s="2">
        <v>45042</v>
      </c>
      <c r="E117">
        <v>1646</v>
      </c>
      <c r="G117" s="2">
        <v>45042</v>
      </c>
      <c r="H117">
        <v>15</v>
      </c>
      <c r="J117" s="2">
        <v>45042</v>
      </c>
      <c r="K117">
        <v>34</v>
      </c>
      <c r="M117" s="2">
        <v>45042</v>
      </c>
      <c r="N117">
        <v>14736</v>
      </c>
      <c r="O117">
        <v>73.58</v>
      </c>
    </row>
    <row r="118" spans="1:15" ht="14.25" customHeight="1" x14ac:dyDescent="0.3">
      <c r="A118" s="2">
        <v>45043</v>
      </c>
      <c r="B118">
        <v>10983</v>
      </c>
      <c r="D118" s="2">
        <v>45043</v>
      </c>
      <c r="E118">
        <v>1280</v>
      </c>
      <c r="G118" s="2">
        <v>45043</v>
      </c>
      <c r="H118">
        <v>15</v>
      </c>
      <c r="J118" s="2">
        <v>45043</v>
      </c>
      <c r="K118">
        <v>16</v>
      </c>
      <c r="M118" s="2">
        <v>45043</v>
      </c>
      <c r="N118">
        <v>11036</v>
      </c>
      <c r="O118">
        <v>72.55</v>
      </c>
    </row>
    <row r="119" spans="1:15" ht="14.25" customHeight="1" x14ac:dyDescent="0.3">
      <c r="A119" s="2">
        <v>45044</v>
      </c>
      <c r="B119">
        <v>11943</v>
      </c>
      <c r="D119" s="2">
        <v>45044</v>
      </c>
      <c r="E119">
        <v>1946</v>
      </c>
      <c r="G119" s="2">
        <v>45044</v>
      </c>
      <c r="H119">
        <v>28</v>
      </c>
      <c r="J119" s="2">
        <v>45044</v>
      </c>
      <c r="K119">
        <v>49</v>
      </c>
      <c r="M119" s="2">
        <v>45044</v>
      </c>
      <c r="N119">
        <v>11537</v>
      </c>
      <c r="O119">
        <v>60.3</v>
      </c>
    </row>
    <row r="120" spans="1:15" ht="14.25" customHeight="1" x14ac:dyDescent="0.3">
      <c r="A120" s="2">
        <v>45045</v>
      </c>
      <c r="B120">
        <v>8799</v>
      </c>
      <c r="D120" s="2">
        <v>45045</v>
      </c>
      <c r="E120">
        <v>1288</v>
      </c>
      <c r="G120" s="2">
        <v>45045</v>
      </c>
      <c r="H120">
        <v>13</v>
      </c>
      <c r="J120" s="2">
        <v>45045</v>
      </c>
      <c r="K120">
        <v>33</v>
      </c>
      <c r="M120" s="2">
        <v>45045</v>
      </c>
      <c r="N120">
        <v>10088</v>
      </c>
      <c r="O120">
        <v>47.79</v>
      </c>
    </row>
    <row r="121" spans="1:15" ht="14.25" customHeight="1" x14ac:dyDescent="0.3">
      <c r="A121" s="2">
        <v>45046</v>
      </c>
      <c r="B121">
        <v>2138</v>
      </c>
      <c r="D121" s="2">
        <v>45046</v>
      </c>
      <c r="E121">
        <v>476</v>
      </c>
      <c r="G121" s="2">
        <v>45046</v>
      </c>
      <c r="H121">
        <v>12</v>
      </c>
      <c r="J121" s="2">
        <v>45046</v>
      </c>
      <c r="K121">
        <v>11</v>
      </c>
      <c r="M121" s="2">
        <v>45046</v>
      </c>
      <c r="N121">
        <v>2316</v>
      </c>
      <c r="O121">
        <v>35.03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Reach(2)</vt:lpstr>
      <vt:lpstr>FB_original_data</vt:lpstr>
      <vt:lpstr>Ins_original_data</vt:lpstr>
      <vt:lpstr>Pivot_summary</vt:lpstr>
      <vt:lpstr>Combo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Adegbe</dc:creator>
  <cp:lastModifiedBy>Victor Oduh</cp:lastModifiedBy>
  <cp:revision>1</cp:revision>
  <dcterms:created xsi:type="dcterms:W3CDTF">2022-05-22T09:03:24Z</dcterms:created>
  <dcterms:modified xsi:type="dcterms:W3CDTF">2026-10-03T23:23:21Z</dcterms:modified>
  <dc:language>en-US</dc:language>
</cp:coreProperties>
</file>